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Jeanne Puerta\Downloads\"/>
    </mc:Choice>
  </mc:AlternateContent>
  <bookViews>
    <workbookView xWindow="0" yWindow="0" windowWidth="20490" windowHeight="7635"/>
  </bookViews>
  <sheets>
    <sheet name="Plan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44" i="1" l="1"/>
  <c r="P44" i="1"/>
  <c r="N44" i="1"/>
  <c r="M44" i="1"/>
  <c r="I44" i="1"/>
  <c r="H44" i="1"/>
  <c r="F44" i="1"/>
  <c r="E44" i="1"/>
  <c r="T43" i="1"/>
  <c r="S43" i="1"/>
  <c r="Q43" i="1"/>
  <c r="P43" i="1"/>
  <c r="O43" i="1"/>
  <c r="N43" i="1"/>
  <c r="L43" i="1"/>
  <c r="K43" i="1"/>
  <c r="I43" i="1"/>
  <c r="H43" i="1"/>
  <c r="G43" i="1"/>
  <c r="F43" i="1"/>
  <c r="D43" i="1"/>
  <c r="C43" i="1"/>
  <c r="T42" i="1"/>
  <c r="T44" i="1" s="1"/>
  <c r="S42" i="1"/>
  <c r="S44" i="1" s="1"/>
  <c r="R42" i="1"/>
  <c r="R44" i="1" s="1"/>
  <c r="Q42" i="1"/>
  <c r="P42" i="1"/>
  <c r="O42" i="1"/>
  <c r="O44" i="1" s="1"/>
  <c r="N42" i="1"/>
  <c r="M42" i="1"/>
  <c r="L42" i="1"/>
  <c r="L44" i="1" s="1"/>
  <c r="K42" i="1"/>
  <c r="K44" i="1" s="1"/>
  <c r="J42" i="1"/>
  <c r="J44" i="1" s="1"/>
  <c r="I42" i="1"/>
  <c r="H42" i="1"/>
  <c r="G42" i="1"/>
  <c r="G44" i="1" s="1"/>
  <c r="F42" i="1"/>
  <c r="E42" i="1"/>
  <c r="D42" i="1"/>
  <c r="D44" i="1" s="1"/>
  <c r="C42" i="1"/>
  <c r="C44" i="1" s="1"/>
  <c r="AN41" i="1"/>
  <c r="AK41" i="1"/>
  <c r="AI41" i="1"/>
  <c r="AG41" i="1"/>
  <c r="AF41" i="1"/>
  <c r="V41" i="1"/>
  <c r="M43" i="1" s="1"/>
  <c r="R40" i="1"/>
  <c r="M40" i="1"/>
  <c r="J40" i="1"/>
  <c r="G40" i="1"/>
  <c r="E40" i="1"/>
  <c r="D40" i="1"/>
  <c r="AN39" i="1"/>
  <c r="AM39" i="1"/>
  <c r="AM41" i="1" s="1"/>
  <c r="AL39" i="1"/>
  <c r="AL41" i="1" s="1"/>
  <c r="AK39" i="1"/>
  <c r="AJ39" i="1"/>
  <c r="AJ41" i="1" s="1"/>
  <c r="AI39" i="1"/>
  <c r="AH39" i="1"/>
  <c r="AH41" i="1" s="1"/>
  <c r="AG39" i="1"/>
  <c r="AF39" i="1"/>
  <c r="T39" i="1"/>
  <c r="S39" i="1"/>
  <c r="R39" i="1"/>
  <c r="Q39" i="1"/>
  <c r="P39" i="1"/>
  <c r="O39" i="1"/>
  <c r="N39" i="1"/>
  <c r="M39" i="1"/>
  <c r="L39" i="1"/>
  <c r="K39" i="1"/>
  <c r="J39" i="1"/>
  <c r="I39" i="1"/>
  <c r="H39" i="1"/>
  <c r="G39" i="1"/>
  <c r="F39" i="1"/>
  <c r="E39" i="1"/>
  <c r="V39" i="1" s="1"/>
  <c r="D39" i="1"/>
  <c r="C39" i="1"/>
  <c r="AP38" i="1"/>
  <c r="AL40" i="1" s="1"/>
  <c r="V38" i="1"/>
  <c r="T37" i="1"/>
  <c r="T40" i="1" s="1"/>
  <c r="S37" i="1"/>
  <c r="S40" i="1" s="1"/>
  <c r="R37" i="1"/>
  <c r="Q37" i="1"/>
  <c r="Q40" i="1" s="1"/>
  <c r="P37" i="1"/>
  <c r="P40" i="1" s="1"/>
  <c r="O37" i="1"/>
  <c r="O40" i="1" s="1"/>
  <c r="N37" i="1"/>
  <c r="N40" i="1" s="1"/>
  <c r="M37" i="1"/>
  <c r="L37" i="1"/>
  <c r="L40" i="1" s="1"/>
  <c r="K37" i="1"/>
  <c r="K40" i="1" s="1"/>
  <c r="J37" i="1"/>
  <c r="I37" i="1"/>
  <c r="I40" i="1" s="1"/>
  <c r="H37" i="1"/>
  <c r="H40" i="1" s="1"/>
  <c r="F37" i="1"/>
  <c r="F40" i="1" s="1"/>
  <c r="E37" i="1"/>
  <c r="D37" i="1"/>
  <c r="C37" i="1"/>
  <c r="C40" i="1" s="1"/>
  <c r="AN36" i="1"/>
  <c r="AL36" i="1"/>
  <c r="AH36" i="1"/>
  <c r="AF36" i="1"/>
  <c r="V36" i="1"/>
  <c r="V37" i="1" s="1"/>
  <c r="V40" i="1" s="1"/>
  <c r="AP35" i="1"/>
  <c r="P35" i="1"/>
  <c r="H35" i="1"/>
  <c r="AO34" i="1"/>
  <c r="AO40" i="1" s="1"/>
  <c r="AN34" i="1"/>
  <c r="AN37" i="1" s="1"/>
  <c r="AL34" i="1"/>
  <c r="AL37" i="1" s="1"/>
  <c r="AJ34" i="1"/>
  <c r="AJ37" i="1" s="1"/>
  <c r="AG34" i="1"/>
  <c r="AG37" i="1" s="1"/>
  <c r="AF34" i="1"/>
  <c r="AF37" i="1" s="1"/>
  <c r="U34" i="1"/>
  <c r="S34" i="1"/>
  <c r="P34" i="1"/>
  <c r="O34" i="1"/>
  <c r="M34" i="1"/>
  <c r="K34" i="1"/>
  <c r="H34" i="1"/>
  <c r="G34" i="1"/>
  <c r="E34" i="1"/>
  <c r="D34" i="1"/>
  <c r="C34" i="1"/>
  <c r="AO33" i="1"/>
  <c r="AO36" i="1" s="1"/>
  <c r="AN33" i="1"/>
  <c r="AM33" i="1"/>
  <c r="AM36" i="1" s="1"/>
  <c r="AL33" i="1"/>
  <c r="AK33" i="1"/>
  <c r="AK34" i="1" s="1"/>
  <c r="AK37" i="1" s="1"/>
  <c r="AJ33" i="1"/>
  <c r="AJ36" i="1" s="1"/>
  <c r="AI33" i="1"/>
  <c r="AI34" i="1" s="1"/>
  <c r="AI37" i="1" s="1"/>
  <c r="AH33" i="1"/>
  <c r="AH34" i="1" s="1"/>
  <c r="AH37" i="1" s="1"/>
  <c r="AG33" i="1"/>
  <c r="AG36" i="1" s="1"/>
  <c r="AF33" i="1"/>
  <c r="V33" i="1"/>
  <c r="M35" i="1" s="1"/>
  <c r="U33" i="1"/>
  <c r="T33" i="1"/>
  <c r="T34" i="1" s="1"/>
  <c r="S33" i="1"/>
  <c r="S35" i="1" s="1"/>
  <c r="R33" i="1"/>
  <c r="R34" i="1" s="1"/>
  <c r="Q33" i="1"/>
  <c r="Q34" i="1" s="1"/>
  <c r="P33" i="1"/>
  <c r="O33" i="1"/>
  <c r="O35" i="1" s="1"/>
  <c r="N33" i="1"/>
  <c r="N35" i="1" s="1"/>
  <c r="M33" i="1"/>
  <c r="L33" i="1"/>
  <c r="L34" i="1" s="1"/>
  <c r="K33" i="1"/>
  <c r="K35" i="1" s="1"/>
  <c r="J33" i="1"/>
  <c r="J34" i="1" s="1"/>
  <c r="I33" i="1"/>
  <c r="I34" i="1" s="1"/>
  <c r="H33" i="1"/>
  <c r="G33" i="1"/>
  <c r="G35" i="1" s="1"/>
  <c r="F33" i="1"/>
  <c r="F35" i="1" s="1"/>
  <c r="E33" i="1"/>
  <c r="D33" i="1"/>
  <c r="C33" i="1"/>
  <c r="Z32" i="1"/>
  <c r="Y32" i="1"/>
  <c r="Z19" i="1"/>
  <c r="Y19" i="1"/>
  <c r="AT17" i="1"/>
  <c r="AS17" i="1"/>
  <c r="AP11" i="1"/>
  <c r="V11" i="1"/>
  <c r="AP10" i="1"/>
  <c r="V10" i="1"/>
  <c r="AP9" i="1"/>
  <c r="V9" i="1"/>
  <c r="AP8" i="1"/>
  <c r="AP33" i="1" s="1"/>
  <c r="AP34" i="1" s="1"/>
  <c r="AP37" i="1" s="1"/>
  <c r="V8" i="1"/>
  <c r="AS6" i="1"/>
  <c r="AR6" i="1"/>
  <c r="X6" i="1"/>
  <c r="AP4" i="1"/>
  <c r="V4" i="1"/>
  <c r="AT3" i="1"/>
  <c r="AP3" i="1"/>
  <c r="Z3" i="1"/>
  <c r="Y6" i="1" s="1"/>
  <c r="V3" i="1"/>
  <c r="V43" i="1" l="1"/>
  <c r="AM40" i="1"/>
  <c r="F34" i="1"/>
  <c r="N34" i="1"/>
  <c r="V34" i="1"/>
  <c r="AM34" i="1"/>
  <c r="AM37" i="1" s="1"/>
  <c r="I35" i="1"/>
  <c r="Q35" i="1"/>
  <c r="AF40" i="1"/>
  <c r="AN40" i="1"/>
  <c r="V42" i="1"/>
  <c r="V44" i="1" s="1"/>
  <c r="J43" i="1"/>
  <c r="R43" i="1"/>
  <c r="J35" i="1"/>
  <c r="R35" i="1"/>
  <c r="AG40" i="1"/>
  <c r="AI36" i="1"/>
  <c r="AP36" i="1" s="1"/>
  <c r="AH40" i="1"/>
  <c r="L35" i="1"/>
  <c r="T35" i="1"/>
  <c r="AI40" i="1"/>
  <c r="E43" i="1"/>
  <c r="E35" i="1"/>
  <c r="AK36" i="1"/>
  <c r="AP39" i="1"/>
  <c r="AP41" i="1" s="1"/>
  <c r="AJ40" i="1"/>
  <c r="AK40" i="1"/>
  <c r="AP40" i="1" l="1"/>
  <c r="V35" i="1"/>
</calcChain>
</file>

<file path=xl/sharedStrings.xml><?xml version="1.0" encoding="utf-8"?>
<sst xmlns="http://schemas.openxmlformats.org/spreadsheetml/2006/main" count="142" uniqueCount="57">
  <si>
    <t>Data</t>
  </si>
  <si>
    <t>Bruno</t>
  </si>
  <si>
    <t>Caio</t>
  </si>
  <si>
    <t>Daniel</t>
  </si>
  <si>
    <t>Evelly</t>
  </si>
  <si>
    <t>Fernanda</t>
  </si>
  <si>
    <t>Guilherme</t>
  </si>
  <si>
    <t>Jéssica M.</t>
  </si>
  <si>
    <t>João L.</t>
  </si>
  <si>
    <t>Johnathan</t>
  </si>
  <si>
    <t>Karen</t>
  </si>
  <si>
    <t>Luciano</t>
  </si>
  <si>
    <t>Luiz F.</t>
  </si>
  <si>
    <t>Luiz H.</t>
  </si>
  <si>
    <t>Nataly</t>
  </si>
  <si>
    <t>Nicolli</t>
  </si>
  <si>
    <t>Richard</t>
  </si>
  <si>
    <t>Tarciane</t>
  </si>
  <si>
    <t>Tatiana</t>
  </si>
  <si>
    <t>Outros</t>
  </si>
  <si>
    <t>Total</t>
  </si>
  <si>
    <t>Dias úteis Abril</t>
  </si>
  <si>
    <t>Dias úteis Trabalhados</t>
  </si>
  <si>
    <t>Dias úteis Restantes</t>
  </si>
  <si>
    <t>Andressa</t>
  </si>
  <si>
    <t>Bárbara</t>
  </si>
  <si>
    <t>Gabriella</t>
  </si>
  <si>
    <t>Hilary</t>
  </si>
  <si>
    <t>Jeanne</t>
  </si>
  <si>
    <t>Patryck</t>
  </si>
  <si>
    <t>Vitor</t>
  </si>
  <si>
    <t>% Trabalhado</t>
  </si>
  <si>
    <t>% Restante</t>
  </si>
  <si>
    <t>-</t>
  </si>
  <si>
    <t>Ranking de Performance por Volume</t>
  </si>
  <si>
    <t>Nome</t>
  </si>
  <si>
    <t>Volume (R$)</t>
  </si>
  <si>
    <t>Participação % no Volume</t>
  </si>
  <si>
    <t>Acompanhamento do Objetivo (R$ 400.000)</t>
  </si>
  <si>
    <t>% Objetivo Atingido</t>
  </si>
  <si>
    <t>Falta para Objetivo (R$)</t>
  </si>
  <si>
    <t>Excedente do Objetivo (R$)</t>
  </si>
  <si>
    <t>Ranking de Performance por Inserções</t>
  </si>
  <si>
    <t>Inserções</t>
  </si>
  <si>
    <t>Participação % nas Inserções</t>
  </si>
  <si>
    <t>Total inserções</t>
  </si>
  <si>
    <t>Compras</t>
  </si>
  <si>
    <t>Média</t>
  </si>
  <si>
    <t>Participação % no Total</t>
  </si>
  <si>
    <t>Adicionais</t>
  </si>
  <si>
    <t>Total Comissões</t>
  </si>
  <si>
    <t>Projeção Créditos</t>
  </si>
  <si>
    <t>Volume Real</t>
  </si>
  <si>
    <t>Média Volume</t>
  </si>
  <si>
    <t>Projeção Volume</t>
  </si>
  <si>
    <t>Daniel dias úteis</t>
  </si>
  <si>
    <t>Daniel dias trabalhados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</si>
</sst>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&quot;/&quot;mm&quot;/&quot;yyyy"/>
  </numFmts>
  <fonts count="15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Arial"/>
    </font>
    <font>
      <sz val="10"/>
      <color theme="1"/>
      <name val="Calibri"/>
    </font>
    <font>
      <b/>
      <sz val="11"/>
      <color rgb="FF000000"/>
      <name val="Calibri"/>
    </font>
    <font>
      <b/>
      <sz val="10"/>
      <color theme="1"/>
      <name val="Arial"/>
    </font>
    <font>
      <sz val="10"/>
      <color theme="1"/>
      <name val="Arial"/>
    </font>
    <font>
      <sz val="11"/>
      <color theme="1"/>
      <name val="Arial"/>
    </font>
    <font>
      <b/>
      <sz val="11"/>
      <color theme="1"/>
      <name val="Calibri"/>
    </font>
    <font>
      <sz val="11"/>
      <name val="Calibri"/>
    </font>
    <font>
      <b/>
      <sz val="11"/>
      <color theme="1"/>
      <name val="Calibri"/>
      <scheme val="minor"/>
    </font>
    <font>
      <b/>
      <sz val="12"/>
      <color theme="1"/>
      <name val="Calibri"/>
    </font>
    <font>
      <b/>
      <sz val="12"/>
      <color rgb="FF000000"/>
      <name val="Calibri"/>
    </font>
    <font>
      <sz val="11"/>
      <color rgb="FFFF0000"/>
      <name val="Calibri"/>
    </font>
  </fonts>
  <fills count="1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B4C6E7"/>
        <bgColor rgb="FFB4C6E7"/>
      </patternFill>
    </fill>
    <fill>
      <patternFill patternType="solid">
        <fgColor rgb="FFDEEAF6"/>
        <bgColor rgb="FFDEEAF6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C5E0B3"/>
        <bgColor rgb="FFC5E0B3"/>
      </patternFill>
    </fill>
    <fill>
      <patternFill patternType="solid">
        <fgColor rgb="FFE2EFD9"/>
        <bgColor rgb="FFE2EFD9"/>
      </patternFill>
    </fill>
    <fill>
      <patternFill patternType="solid">
        <fgColor rgb="FFDDEBF7"/>
        <bgColor rgb="FFDDEBF7"/>
      </patternFill>
    </fill>
    <fill>
      <patternFill patternType="solid">
        <fgColor rgb="FF93C47D"/>
        <bgColor rgb="FF93C47D"/>
      </patternFill>
    </fill>
    <fill>
      <patternFill patternType="solid">
        <fgColor rgb="FFA8D08D"/>
        <bgColor rgb="FFA8D08D"/>
      </patternFill>
    </fill>
    <fill>
      <patternFill patternType="solid">
        <fgColor rgb="FFFEF2CB"/>
        <bgColor rgb="FFFEF2CB"/>
      </patternFill>
    </fill>
    <fill>
      <patternFill patternType="solid">
        <fgColor rgb="FFD9D9D9"/>
        <bgColor rgb="FFD9D9D9"/>
      </patternFill>
    </fill>
  </fills>
  <borders count="6">
    <border>
      <left/>
      <right/>
      <top/>
      <bottom/>
      <diagonal/>
    </border>
    <border>
      <left style="thick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2" borderId="0" xfId="0" applyFont="1" applyFill="1" applyBorder="1" applyAlignment="1">
      <alignment vertical="center"/>
    </xf>
    <xf numFmtId="0" fontId="1" fillId="0" borderId="1" xfId="0" applyFont="1" applyBorder="1" applyAlignment="1">
      <alignment vertical="center"/>
    </xf>
    <xf numFmtId="0" fontId="0" fillId="0" borderId="0" xfId="0" applyFont="1" applyAlignment="1"/>
    <xf numFmtId="0" fontId="3" fillId="3" borderId="2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vertical="center"/>
    </xf>
    <xf numFmtId="0" fontId="5" fillId="4" borderId="2" xfId="0" applyFont="1" applyFill="1" applyBorder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4" fontId="6" fillId="0" borderId="1" xfId="0" applyNumberFormat="1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164" fontId="6" fillId="0" borderId="2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164" fontId="9" fillId="0" borderId="0" xfId="0" applyNumberFormat="1" applyFont="1" applyAlignment="1">
      <alignment horizontal="center" vertical="center"/>
    </xf>
    <xf numFmtId="0" fontId="8" fillId="5" borderId="2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9" fontId="5" fillId="0" borderId="2" xfId="0" applyNumberFormat="1" applyFont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0" fontId="10" fillId="0" borderId="4" xfId="0" applyFont="1" applyBorder="1"/>
    <xf numFmtId="0" fontId="10" fillId="0" borderId="5" xfId="0" applyFont="1" applyBorder="1"/>
    <xf numFmtId="0" fontId="9" fillId="0" borderId="2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vertical="center"/>
    </xf>
    <xf numFmtId="4" fontId="2" fillId="0" borderId="2" xfId="0" applyNumberFormat="1" applyFont="1" applyBorder="1" applyAlignment="1">
      <alignment horizontal="center" vertical="center"/>
    </xf>
    <xf numFmtId="10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49" fontId="2" fillId="0" borderId="2" xfId="0" applyNumberFormat="1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4" fontId="9" fillId="0" borderId="2" xfId="0" applyNumberFormat="1" applyFont="1" applyBorder="1" applyAlignment="1">
      <alignment horizontal="center" vertical="center"/>
    </xf>
    <xf numFmtId="10" fontId="9" fillId="0" borderId="2" xfId="0" applyNumberFormat="1" applyFont="1" applyBorder="1" applyAlignment="1">
      <alignment horizontal="center" vertical="center"/>
    </xf>
    <xf numFmtId="0" fontId="11" fillId="4" borderId="3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left" vertical="center"/>
    </xf>
    <xf numFmtId="4" fontId="1" fillId="0" borderId="2" xfId="0" applyNumberFormat="1" applyFont="1" applyBorder="1" applyAlignment="1">
      <alignment horizontal="center" vertical="center"/>
    </xf>
    <xf numFmtId="10" fontId="1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3" fontId="1" fillId="0" borderId="2" xfId="0" applyNumberFormat="1" applyFont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vertical="center"/>
    </xf>
    <xf numFmtId="3" fontId="9" fillId="0" borderId="2" xfId="0" applyNumberFormat="1" applyFont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/>
    </xf>
    <xf numFmtId="2" fontId="5" fillId="4" borderId="2" xfId="0" applyNumberFormat="1" applyFont="1" applyFill="1" applyBorder="1" applyAlignment="1">
      <alignment horizontal="center" vertical="center"/>
    </xf>
    <xf numFmtId="1" fontId="5" fillId="4" borderId="2" xfId="0" applyNumberFormat="1" applyFont="1" applyFill="1" applyBorder="1" applyAlignment="1">
      <alignment horizontal="center" vertical="center"/>
    </xf>
    <xf numFmtId="1" fontId="5" fillId="8" borderId="2" xfId="0" applyNumberFormat="1" applyFont="1" applyFill="1" applyBorder="1" applyAlignment="1">
      <alignment horizontal="center" vertical="center"/>
    </xf>
    <xf numFmtId="1" fontId="5" fillId="9" borderId="2" xfId="0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9" fillId="4" borderId="2" xfId="0" applyFont="1" applyFill="1" applyBorder="1" applyAlignment="1">
      <alignment horizontal="center" vertical="center"/>
    </xf>
    <xf numFmtId="1" fontId="9" fillId="4" borderId="2" xfId="0" applyNumberFormat="1" applyFont="1" applyFill="1" applyBorder="1" applyAlignment="1">
      <alignment horizontal="center" vertical="center"/>
    </xf>
    <xf numFmtId="1" fontId="9" fillId="4" borderId="3" xfId="0" applyNumberFormat="1" applyFont="1" applyFill="1" applyBorder="1" applyAlignment="1">
      <alignment horizontal="center" vertical="center"/>
    </xf>
    <xf numFmtId="10" fontId="5" fillId="9" borderId="2" xfId="0" applyNumberFormat="1" applyFont="1" applyFill="1" applyBorder="1" applyAlignment="1">
      <alignment horizontal="center" vertical="center"/>
    </xf>
    <xf numFmtId="0" fontId="9" fillId="4" borderId="3" xfId="0" applyFont="1" applyFill="1" applyBorder="1" applyAlignment="1">
      <alignment horizontal="center" vertical="center"/>
    </xf>
    <xf numFmtId="10" fontId="1" fillId="0" borderId="0" xfId="0" applyNumberFormat="1" applyFont="1" applyAlignment="1">
      <alignment vertical="center"/>
    </xf>
    <xf numFmtId="4" fontId="7" fillId="0" borderId="2" xfId="0" applyNumberFormat="1" applyFont="1" applyBorder="1" applyAlignment="1">
      <alignment horizontal="center" vertical="center"/>
    </xf>
    <xf numFmtId="10" fontId="7" fillId="0" borderId="2" xfId="0" applyNumberFormat="1" applyFont="1" applyBorder="1" applyAlignment="1">
      <alignment horizontal="center" vertical="center"/>
    </xf>
    <xf numFmtId="3" fontId="7" fillId="0" borderId="2" xfId="0" applyNumberFormat="1" applyFont="1" applyBorder="1" applyAlignment="1">
      <alignment horizontal="center" vertical="center"/>
    </xf>
    <xf numFmtId="4" fontId="5" fillId="4" borderId="2" xfId="0" applyNumberFormat="1" applyFont="1" applyFill="1" applyBorder="1" applyAlignment="1">
      <alignment horizontal="center" vertical="center"/>
    </xf>
    <xf numFmtId="3" fontId="5" fillId="4" borderId="2" xfId="0" applyNumberFormat="1" applyFont="1" applyFill="1" applyBorder="1" applyAlignment="1">
      <alignment horizontal="center" vertical="center"/>
    </xf>
    <xf numFmtId="3" fontId="5" fillId="8" borderId="2" xfId="0" applyNumberFormat="1" applyFont="1" applyFill="1" applyBorder="1" applyAlignment="1">
      <alignment horizontal="center" vertical="center"/>
    </xf>
    <xf numFmtId="3" fontId="5" fillId="9" borderId="2" xfId="0" applyNumberFormat="1" applyFont="1" applyFill="1" applyBorder="1" applyAlignment="1">
      <alignment horizontal="center" vertical="center"/>
    </xf>
    <xf numFmtId="3" fontId="9" fillId="4" borderId="2" xfId="0" applyNumberFormat="1" applyFont="1" applyFill="1" applyBorder="1" applyAlignment="1">
      <alignment horizontal="center" vertical="center"/>
    </xf>
    <xf numFmtId="3" fontId="9" fillId="4" borderId="3" xfId="0" applyNumberFormat="1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12" fillId="10" borderId="2" xfId="0" applyFont="1" applyFill="1" applyBorder="1" applyAlignment="1">
      <alignment horizontal="center" vertical="center"/>
    </xf>
    <xf numFmtId="3" fontId="12" fillId="10" borderId="2" xfId="0" applyNumberFormat="1" applyFont="1" applyFill="1" applyBorder="1" applyAlignment="1">
      <alignment horizontal="center" vertical="center"/>
    </xf>
    <xf numFmtId="3" fontId="12" fillId="10" borderId="3" xfId="0" applyNumberFormat="1" applyFont="1" applyFill="1" applyBorder="1" applyAlignment="1">
      <alignment horizontal="center" vertical="center"/>
    </xf>
    <xf numFmtId="3" fontId="5" fillId="7" borderId="2" xfId="0" applyNumberFormat="1" applyFont="1" applyFill="1" applyBorder="1" applyAlignment="1">
      <alignment horizontal="center" vertical="center"/>
    </xf>
    <xf numFmtId="3" fontId="5" fillId="11" borderId="2" xfId="0" applyNumberFormat="1" applyFont="1" applyFill="1" applyBorder="1" applyAlignment="1">
      <alignment horizontal="center" vertical="center"/>
    </xf>
    <xf numFmtId="10" fontId="9" fillId="9" borderId="2" xfId="0" applyNumberFormat="1" applyFont="1" applyFill="1" applyBorder="1" applyAlignment="1">
      <alignment horizontal="center" vertical="center"/>
    </xf>
    <xf numFmtId="10" fontId="9" fillId="4" borderId="2" xfId="0" applyNumberFormat="1" applyFont="1" applyFill="1" applyBorder="1" applyAlignment="1">
      <alignment horizontal="center" vertical="center"/>
    </xf>
    <xf numFmtId="0" fontId="13" fillId="11" borderId="2" xfId="0" applyFont="1" applyFill="1" applyBorder="1" applyAlignment="1">
      <alignment horizontal="center" vertical="center"/>
    </xf>
    <xf numFmtId="3" fontId="13" fillId="11" borderId="2" xfId="0" applyNumberFormat="1" applyFont="1" applyFill="1" applyBorder="1" applyAlignment="1">
      <alignment horizontal="center" vertical="center"/>
    </xf>
    <xf numFmtId="3" fontId="9" fillId="12" borderId="2" xfId="0" applyNumberFormat="1" applyFont="1" applyFill="1" applyBorder="1" applyAlignment="1">
      <alignment horizontal="center" vertical="center"/>
    </xf>
    <xf numFmtId="10" fontId="5" fillId="4" borderId="2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0" fontId="14" fillId="0" borderId="0" xfId="0" applyFont="1" applyAlignment="1">
      <alignment vertical="center"/>
    </xf>
    <xf numFmtId="0" fontId="2" fillId="13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L968"/>
  <sheetViews>
    <sheetView tabSelected="1" workbookViewId="0">
      <selection sqref="A1:XFD1048576"/>
    </sheetView>
  </sheetViews>
  <sheetFormatPr defaultColWidth="14.42578125" defaultRowHeight="15"/>
  <cols>
    <col min="1" max="1" width="1.28515625" style="5" customWidth="1"/>
    <col min="2" max="2" width="27.140625" style="5" customWidth="1"/>
    <col min="3" max="4" width="7.42578125" style="5" hidden="1" customWidth="1"/>
    <col min="5" max="5" width="13" style="5" customWidth="1"/>
    <col min="6" max="6" width="8.5703125" style="5" hidden="1" customWidth="1"/>
    <col min="7" max="7" width="13" style="5" customWidth="1"/>
    <col min="8" max="8" width="10.85546875" style="5" hidden="1" customWidth="1"/>
    <col min="9" max="9" width="10.5703125" style="5" hidden="1" customWidth="1"/>
    <col min="10" max="10" width="8.140625" style="5" hidden="1" customWidth="1"/>
    <col min="11" max="11" width="14.5703125" style="5" customWidth="1"/>
    <col min="12" max="12" width="8.42578125" style="5" hidden="1" customWidth="1"/>
    <col min="13" max="13" width="8.5703125" style="5" hidden="1" customWidth="1"/>
    <col min="14" max="14" width="11.85546875" style="5" customWidth="1"/>
    <col min="15" max="15" width="11.7109375" style="5" customWidth="1"/>
    <col min="16" max="16" width="10.140625" style="5" customWidth="1"/>
    <col min="17" max="17" width="11.28515625" style="5" customWidth="1"/>
    <col min="18" max="18" width="9" style="5" hidden="1" customWidth="1"/>
    <col min="19" max="19" width="12.5703125" style="5" customWidth="1"/>
    <col min="20" max="20" width="11.28515625" style="5" customWidth="1"/>
    <col min="21" max="21" width="7.85546875" style="5" hidden="1" customWidth="1"/>
    <col min="22" max="22" width="15.5703125" style="5" customWidth="1"/>
    <col min="23" max="23" width="2" style="5" customWidth="1"/>
    <col min="24" max="24" width="15.85546875" style="5" customWidth="1"/>
    <col min="25" max="25" width="23.42578125" style="5" customWidth="1"/>
    <col min="26" max="26" width="27" style="5" customWidth="1"/>
    <col min="27" max="27" width="21.5703125" style="5" customWidth="1"/>
    <col min="28" max="28" width="24.7109375" style="5" customWidth="1"/>
    <col min="29" max="30" width="6.140625" style="5" customWidth="1"/>
    <col min="31" max="31" width="27.140625" style="5" customWidth="1"/>
    <col min="32" max="32" width="10.85546875" style="5" customWidth="1"/>
    <col min="33" max="33" width="14.140625" style="5" customWidth="1"/>
    <col min="34" max="34" width="10.28515625" style="5" hidden="1" customWidth="1"/>
    <col min="35" max="35" width="11" style="5" customWidth="1"/>
    <col min="36" max="36" width="9.42578125" style="5" customWidth="1"/>
    <col min="37" max="37" width="10.85546875" style="5" customWidth="1"/>
    <col min="38" max="38" width="10.28515625" style="5" customWidth="1"/>
    <col min="39" max="39" width="9.5703125" style="5" customWidth="1"/>
    <col min="40" max="40" width="12.42578125" style="5" hidden="1" customWidth="1"/>
    <col min="41" max="41" width="8.5703125" style="5" hidden="1" customWidth="1"/>
    <col min="42" max="42" width="15.85546875" style="5" customWidth="1"/>
    <col min="43" max="43" width="1.7109375" style="5" customWidth="1"/>
    <col min="44" max="45" width="20.85546875" style="5" customWidth="1"/>
    <col min="46" max="46" width="24.140625" style="5" customWidth="1"/>
    <col min="47" max="47" width="23.140625" style="5" customWidth="1"/>
    <col min="48" max="48" width="24.7109375" style="5" customWidth="1"/>
    <col min="49" max="49" width="3.85546875" style="5" customWidth="1"/>
    <col min="50" max="50" width="22.7109375" style="5" customWidth="1"/>
    <col min="51" max="64" width="9.140625" style="5" customWidth="1"/>
    <col min="65" max="16384" width="14.42578125" style="5"/>
  </cols>
  <sheetData>
    <row r="1" spans="1:64" ht="6.75" customHeight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3"/>
      <c r="X1" s="1"/>
      <c r="Y1" s="1"/>
      <c r="Z1" s="1"/>
      <c r="AA1" s="1"/>
      <c r="AB1" s="1"/>
      <c r="AC1" s="1"/>
      <c r="AD1" s="4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</row>
    <row r="2" spans="1:64" ht="16.5" customHeight="1">
      <c r="A2" s="2"/>
      <c r="B2" s="6" t="s">
        <v>0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5</v>
      </c>
      <c r="H2" s="6" t="s">
        <v>6</v>
      </c>
      <c r="I2" s="6" t="s">
        <v>7</v>
      </c>
      <c r="J2" s="6" t="s">
        <v>8</v>
      </c>
      <c r="K2" s="6" t="s">
        <v>9</v>
      </c>
      <c r="L2" s="6" t="s">
        <v>10</v>
      </c>
      <c r="M2" s="6" t="s">
        <v>11</v>
      </c>
      <c r="N2" s="6" t="s">
        <v>12</v>
      </c>
      <c r="O2" s="6" t="s">
        <v>13</v>
      </c>
      <c r="P2" s="6" t="s">
        <v>14</v>
      </c>
      <c r="Q2" s="6" t="s">
        <v>15</v>
      </c>
      <c r="R2" s="6" t="s">
        <v>16</v>
      </c>
      <c r="S2" s="6" t="s">
        <v>17</v>
      </c>
      <c r="T2" s="6" t="s">
        <v>18</v>
      </c>
      <c r="U2" s="6" t="s">
        <v>19</v>
      </c>
      <c r="V2" s="6" t="s">
        <v>20</v>
      </c>
      <c r="W2" s="7"/>
      <c r="X2" s="8" t="s">
        <v>21</v>
      </c>
      <c r="Y2" s="8" t="s">
        <v>22</v>
      </c>
      <c r="Z2" s="8" t="s">
        <v>23</v>
      </c>
      <c r="AA2" s="9"/>
      <c r="AB2" s="9"/>
      <c r="AC2" s="9"/>
      <c r="AD2" s="10"/>
      <c r="AE2" s="6" t="s">
        <v>0</v>
      </c>
      <c r="AF2" s="6" t="s">
        <v>24</v>
      </c>
      <c r="AG2" s="6" t="s">
        <v>25</v>
      </c>
      <c r="AH2" s="6" t="s">
        <v>5</v>
      </c>
      <c r="AI2" s="6" t="s">
        <v>26</v>
      </c>
      <c r="AJ2" s="6" t="s">
        <v>27</v>
      </c>
      <c r="AK2" s="6" t="s">
        <v>28</v>
      </c>
      <c r="AL2" s="11" t="s">
        <v>29</v>
      </c>
      <c r="AM2" s="6" t="s">
        <v>30</v>
      </c>
      <c r="AN2" s="11" t="s">
        <v>5</v>
      </c>
      <c r="AO2" s="11" t="s">
        <v>19</v>
      </c>
      <c r="AP2" s="6" t="s">
        <v>20</v>
      </c>
      <c r="AQ2" s="2"/>
      <c r="AR2" s="8" t="s">
        <v>21</v>
      </c>
      <c r="AS2" s="8" t="s">
        <v>22</v>
      </c>
      <c r="AT2" s="8" t="s">
        <v>23</v>
      </c>
      <c r="AU2" s="2"/>
      <c r="AV2" s="1"/>
      <c r="AW2" s="2"/>
      <c r="AX2" s="1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</row>
    <row r="3" spans="1:64" ht="16.5" customHeight="1">
      <c r="A3" s="1"/>
      <c r="B3" s="12">
        <v>46113</v>
      </c>
      <c r="C3" s="13"/>
      <c r="D3" s="13"/>
      <c r="E3" s="14">
        <v>5</v>
      </c>
      <c r="F3" s="14"/>
      <c r="G3" s="14">
        <v>0</v>
      </c>
      <c r="H3" s="14"/>
      <c r="I3" s="14"/>
      <c r="J3" s="14"/>
      <c r="K3" s="14">
        <v>2</v>
      </c>
      <c r="L3" s="14"/>
      <c r="M3" s="14"/>
      <c r="N3" s="14">
        <v>5</v>
      </c>
      <c r="O3" s="14">
        <v>1</v>
      </c>
      <c r="P3" s="14">
        <v>5</v>
      </c>
      <c r="Q3" s="14">
        <v>14</v>
      </c>
      <c r="R3" s="14"/>
      <c r="S3" s="14">
        <v>1</v>
      </c>
      <c r="T3" s="14">
        <v>8</v>
      </c>
      <c r="U3" s="14"/>
      <c r="V3" s="15">
        <f t="shared" ref="V3:V4" si="0">SUM(E3:T3)</f>
        <v>41</v>
      </c>
      <c r="W3" s="7"/>
      <c r="X3" s="16">
        <v>20</v>
      </c>
      <c r="Y3" s="16">
        <v>6</v>
      </c>
      <c r="Z3" s="16">
        <f>X3-Y3</f>
        <v>14</v>
      </c>
      <c r="AA3" s="9"/>
      <c r="AB3" s="9"/>
      <c r="AC3" s="9"/>
      <c r="AD3" s="10"/>
      <c r="AE3" s="12">
        <v>46113</v>
      </c>
      <c r="AF3" s="14">
        <v>6</v>
      </c>
      <c r="AG3" s="14">
        <v>17</v>
      </c>
      <c r="AH3" s="14"/>
      <c r="AI3" s="14">
        <v>3</v>
      </c>
      <c r="AJ3" s="14">
        <v>0</v>
      </c>
      <c r="AK3" s="14">
        <v>0</v>
      </c>
      <c r="AL3" s="17">
        <v>0</v>
      </c>
      <c r="AM3" s="14">
        <v>0</v>
      </c>
      <c r="AN3" s="17"/>
      <c r="AO3" s="17"/>
      <c r="AP3" s="15">
        <f t="shared" ref="AP3:AP4" si="1">SUM(AF3:AM3)</f>
        <v>26</v>
      </c>
      <c r="AQ3" s="2"/>
      <c r="AR3" s="16">
        <v>20</v>
      </c>
      <c r="AS3" s="16">
        <v>6</v>
      </c>
      <c r="AT3" s="16">
        <f>AR3-AS3</f>
        <v>14</v>
      </c>
      <c r="AU3" s="2"/>
      <c r="AV3" s="1"/>
      <c r="AW3" s="2"/>
      <c r="AX3" s="1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</row>
    <row r="4" spans="1:64" ht="16.5" customHeight="1">
      <c r="A4" s="1"/>
      <c r="B4" s="12">
        <v>46114</v>
      </c>
      <c r="C4" s="13">
        <v>0</v>
      </c>
      <c r="D4" s="13">
        <v>0</v>
      </c>
      <c r="E4" s="14">
        <v>4</v>
      </c>
      <c r="F4" s="14"/>
      <c r="G4" s="14">
        <v>2</v>
      </c>
      <c r="H4" s="14"/>
      <c r="I4" s="14"/>
      <c r="J4" s="14"/>
      <c r="K4" s="14">
        <v>4</v>
      </c>
      <c r="L4" s="14"/>
      <c r="M4" s="14"/>
      <c r="N4" s="14">
        <v>3</v>
      </c>
      <c r="O4" s="14">
        <v>5</v>
      </c>
      <c r="P4" s="14">
        <v>5</v>
      </c>
      <c r="Q4" s="14">
        <v>4</v>
      </c>
      <c r="R4" s="14"/>
      <c r="S4" s="14">
        <v>3</v>
      </c>
      <c r="T4" s="14">
        <v>6</v>
      </c>
      <c r="U4" s="14"/>
      <c r="V4" s="15">
        <f t="shared" si="0"/>
        <v>36</v>
      </c>
      <c r="W4" s="18"/>
      <c r="X4" s="19"/>
      <c r="Y4" s="20"/>
      <c r="Z4" s="20"/>
      <c r="AA4" s="9"/>
      <c r="AB4" s="9"/>
      <c r="AC4" s="9"/>
      <c r="AD4" s="10"/>
      <c r="AE4" s="12">
        <v>46114</v>
      </c>
      <c r="AF4" s="14">
        <v>0</v>
      </c>
      <c r="AG4" s="14">
        <v>6</v>
      </c>
      <c r="AH4" s="14"/>
      <c r="AI4" s="14">
        <v>9</v>
      </c>
      <c r="AJ4" s="14">
        <v>6</v>
      </c>
      <c r="AK4" s="14">
        <v>0</v>
      </c>
      <c r="AL4" s="17">
        <v>0</v>
      </c>
      <c r="AM4" s="14">
        <v>0</v>
      </c>
      <c r="AN4" s="17"/>
      <c r="AO4" s="17"/>
      <c r="AP4" s="15">
        <f t="shared" si="1"/>
        <v>21</v>
      </c>
      <c r="AQ4" s="2"/>
      <c r="AR4" s="19"/>
      <c r="AS4" s="2"/>
      <c r="AT4" s="19"/>
      <c r="AU4" s="2"/>
      <c r="AV4" s="1"/>
      <c r="AW4" s="2"/>
      <c r="AX4" s="1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</row>
    <row r="5" spans="1:64" ht="16.5" customHeight="1">
      <c r="A5" s="1"/>
      <c r="B5" s="12">
        <v>46115</v>
      </c>
      <c r="C5" s="13">
        <v>0</v>
      </c>
      <c r="D5" s="13">
        <v>0</v>
      </c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2"/>
      <c r="W5" s="3"/>
      <c r="X5" s="8" t="s">
        <v>31</v>
      </c>
      <c r="Y5" s="8" t="s">
        <v>32</v>
      </c>
      <c r="Z5" s="20"/>
      <c r="AA5" s="9"/>
      <c r="AB5" s="9"/>
      <c r="AC5" s="9"/>
      <c r="AD5" s="10"/>
      <c r="AE5" s="12">
        <v>46115</v>
      </c>
      <c r="AF5" s="21"/>
      <c r="AG5" s="21"/>
      <c r="AH5" s="21"/>
      <c r="AI5" s="21"/>
      <c r="AJ5" s="21"/>
      <c r="AK5" s="21"/>
      <c r="AL5" s="23"/>
      <c r="AM5" s="21"/>
      <c r="AN5" s="23"/>
      <c r="AO5" s="23"/>
      <c r="AP5" s="22"/>
      <c r="AQ5" s="2"/>
      <c r="AR5" s="8" t="s">
        <v>31</v>
      </c>
      <c r="AS5" s="8" t="s">
        <v>32</v>
      </c>
      <c r="AT5" s="19"/>
      <c r="AU5" s="2"/>
      <c r="AV5" s="1"/>
      <c r="AW5" s="2"/>
      <c r="AX5" s="1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</row>
    <row r="6" spans="1:64" ht="16.5" customHeight="1">
      <c r="A6" s="1"/>
      <c r="B6" s="12">
        <v>46116</v>
      </c>
      <c r="C6" s="13">
        <v>0</v>
      </c>
      <c r="D6" s="13">
        <v>0</v>
      </c>
      <c r="E6" s="21"/>
      <c r="F6" s="21"/>
      <c r="G6" s="21"/>
      <c r="H6" s="21"/>
      <c r="I6" s="21"/>
      <c r="J6" s="21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2"/>
      <c r="W6" s="3"/>
      <c r="X6" s="24">
        <f>Y3/X3</f>
        <v>0.3</v>
      </c>
      <c r="Y6" s="24">
        <f>Z3/X3</f>
        <v>0.7</v>
      </c>
      <c r="Z6" s="20"/>
      <c r="AA6" s="9"/>
      <c r="AB6" s="9"/>
      <c r="AC6" s="9"/>
      <c r="AD6" s="10"/>
      <c r="AE6" s="12">
        <v>46116</v>
      </c>
      <c r="AF6" s="21"/>
      <c r="AG6" s="21"/>
      <c r="AH6" s="21"/>
      <c r="AI6" s="21"/>
      <c r="AJ6" s="21"/>
      <c r="AK6" s="21"/>
      <c r="AL6" s="23"/>
      <c r="AM6" s="21"/>
      <c r="AN6" s="23"/>
      <c r="AO6" s="23"/>
      <c r="AP6" s="22"/>
      <c r="AQ6" s="2"/>
      <c r="AR6" s="24">
        <f>AS3/AR3</f>
        <v>0.3</v>
      </c>
      <c r="AS6" s="24">
        <f>AT3/AR3</f>
        <v>0.7</v>
      </c>
      <c r="AT6" s="2"/>
      <c r="AU6" s="2"/>
      <c r="AV6" s="1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</row>
    <row r="7" spans="1:64" ht="16.5" customHeight="1">
      <c r="A7" s="1"/>
      <c r="B7" s="12">
        <v>46117</v>
      </c>
      <c r="C7" s="13">
        <v>0</v>
      </c>
      <c r="D7" s="13">
        <v>0</v>
      </c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2"/>
      <c r="W7" s="3"/>
      <c r="X7" s="19"/>
      <c r="Y7" s="20"/>
      <c r="Z7" s="20"/>
      <c r="AA7" s="9"/>
      <c r="AB7" s="9"/>
      <c r="AC7" s="9"/>
      <c r="AD7" s="10"/>
      <c r="AE7" s="12">
        <v>46117</v>
      </c>
      <c r="AF7" s="21"/>
      <c r="AG7" s="21"/>
      <c r="AH7" s="21"/>
      <c r="AI7" s="21"/>
      <c r="AJ7" s="21"/>
      <c r="AK7" s="21"/>
      <c r="AL7" s="23"/>
      <c r="AM7" s="21"/>
      <c r="AN7" s="23"/>
      <c r="AO7" s="23"/>
      <c r="AP7" s="22"/>
      <c r="AQ7" s="2"/>
      <c r="AR7" s="19"/>
      <c r="AS7" s="2"/>
      <c r="AT7" s="2"/>
      <c r="AU7" s="2"/>
      <c r="AV7" s="1"/>
      <c r="AW7" s="2"/>
      <c r="AX7" s="2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</row>
    <row r="8" spans="1:64" ht="16.5" customHeight="1">
      <c r="A8" s="1"/>
      <c r="B8" s="12">
        <v>46118</v>
      </c>
      <c r="C8" s="13">
        <v>0</v>
      </c>
      <c r="D8" s="13">
        <v>0</v>
      </c>
      <c r="E8" s="14" t="s">
        <v>33</v>
      </c>
      <c r="F8" s="14"/>
      <c r="G8" s="14">
        <v>1</v>
      </c>
      <c r="H8" s="14"/>
      <c r="I8" s="14"/>
      <c r="J8" s="14"/>
      <c r="K8" s="14">
        <v>3</v>
      </c>
      <c r="L8" s="14"/>
      <c r="M8" s="14"/>
      <c r="N8" s="14">
        <v>3</v>
      </c>
      <c r="O8" s="14">
        <v>2</v>
      </c>
      <c r="P8" s="14">
        <v>4</v>
      </c>
      <c r="Q8" s="14">
        <v>0</v>
      </c>
      <c r="R8" s="14"/>
      <c r="S8" s="14">
        <v>2</v>
      </c>
      <c r="T8" s="14">
        <v>6</v>
      </c>
      <c r="U8" s="14"/>
      <c r="V8" s="15">
        <f t="shared" ref="V8:V11" si="2">SUM(E8:T8)</f>
        <v>21</v>
      </c>
      <c r="W8" s="3"/>
      <c r="X8" s="25" t="s">
        <v>34</v>
      </c>
      <c r="Y8" s="26"/>
      <c r="Z8" s="27"/>
      <c r="AA8" s="9"/>
      <c r="AB8" s="9"/>
      <c r="AC8" s="9"/>
      <c r="AD8" s="10"/>
      <c r="AE8" s="12">
        <v>46118</v>
      </c>
      <c r="AF8" s="14">
        <v>3</v>
      </c>
      <c r="AG8" s="14">
        <v>6</v>
      </c>
      <c r="AH8" s="14"/>
      <c r="AI8" s="14">
        <v>0</v>
      </c>
      <c r="AJ8" s="14">
        <v>6</v>
      </c>
      <c r="AK8" s="14">
        <v>0</v>
      </c>
      <c r="AL8" s="17">
        <v>0</v>
      </c>
      <c r="AM8" s="14">
        <v>0</v>
      </c>
      <c r="AN8" s="17"/>
      <c r="AO8" s="17"/>
      <c r="AP8" s="15">
        <f t="shared" ref="AP8:AP11" si="3">SUM(AF8:AM8)</f>
        <v>15</v>
      </c>
      <c r="AQ8" s="2"/>
      <c r="AR8" s="25" t="s">
        <v>34</v>
      </c>
      <c r="AS8" s="26"/>
      <c r="AT8" s="27"/>
      <c r="AU8" s="2"/>
      <c r="AV8" s="1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</row>
    <row r="9" spans="1:64" ht="16.5" customHeight="1">
      <c r="A9" s="1"/>
      <c r="B9" s="12">
        <v>46119</v>
      </c>
      <c r="C9" s="13"/>
      <c r="D9" s="13"/>
      <c r="E9" s="14" t="s">
        <v>33</v>
      </c>
      <c r="F9" s="14"/>
      <c r="G9" s="14">
        <v>1</v>
      </c>
      <c r="H9" s="14"/>
      <c r="I9" s="14"/>
      <c r="J9" s="14"/>
      <c r="K9" s="14">
        <v>0</v>
      </c>
      <c r="L9" s="14"/>
      <c r="M9" s="14"/>
      <c r="N9" s="14">
        <v>5</v>
      </c>
      <c r="O9" s="14">
        <v>1</v>
      </c>
      <c r="P9" s="14">
        <v>2</v>
      </c>
      <c r="Q9" s="14">
        <v>2</v>
      </c>
      <c r="R9" s="14"/>
      <c r="S9" s="14">
        <v>2</v>
      </c>
      <c r="T9" s="14">
        <v>3</v>
      </c>
      <c r="U9" s="14"/>
      <c r="V9" s="15">
        <f t="shared" si="2"/>
        <v>16</v>
      </c>
      <c r="W9" s="3"/>
      <c r="X9" s="28" t="s">
        <v>35</v>
      </c>
      <c r="Y9" s="28" t="s">
        <v>36</v>
      </c>
      <c r="Z9" s="28" t="s">
        <v>37</v>
      </c>
      <c r="AA9" s="9"/>
      <c r="AB9" s="9"/>
      <c r="AC9" s="9"/>
      <c r="AD9" s="10"/>
      <c r="AE9" s="12">
        <v>46119</v>
      </c>
      <c r="AF9" s="14">
        <v>0</v>
      </c>
      <c r="AG9" s="14">
        <v>7</v>
      </c>
      <c r="AH9" s="14"/>
      <c r="AI9" s="14">
        <v>12</v>
      </c>
      <c r="AJ9" s="14">
        <v>8</v>
      </c>
      <c r="AK9" s="14">
        <v>0</v>
      </c>
      <c r="AL9" s="17">
        <v>0</v>
      </c>
      <c r="AM9" s="14">
        <v>0</v>
      </c>
      <c r="AN9" s="17"/>
      <c r="AO9" s="17"/>
      <c r="AP9" s="15">
        <f t="shared" si="3"/>
        <v>27</v>
      </c>
      <c r="AQ9" s="2"/>
      <c r="AR9" s="28" t="s">
        <v>35</v>
      </c>
      <c r="AS9" s="28" t="s">
        <v>36</v>
      </c>
      <c r="AT9" s="28" t="s">
        <v>37</v>
      </c>
      <c r="AU9" s="2"/>
      <c r="AV9" s="1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</row>
    <row r="10" spans="1:64" ht="16.5" customHeight="1">
      <c r="A10" s="1"/>
      <c r="B10" s="12">
        <v>46120</v>
      </c>
      <c r="C10" s="13"/>
      <c r="D10" s="13"/>
      <c r="E10" s="14" t="s">
        <v>33</v>
      </c>
      <c r="F10" s="14"/>
      <c r="G10" s="14">
        <v>1</v>
      </c>
      <c r="H10" s="14"/>
      <c r="I10" s="14"/>
      <c r="J10" s="14"/>
      <c r="K10" s="14">
        <v>1</v>
      </c>
      <c r="L10" s="14"/>
      <c r="M10" s="14"/>
      <c r="N10" s="14">
        <v>2</v>
      </c>
      <c r="O10" s="14">
        <v>2</v>
      </c>
      <c r="P10" s="14">
        <v>2</v>
      </c>
      <c r="Q10" s="14">
        <v>1</v>
      </c>
      <c r="R10" s="14"/>
      <c r="S10" s="14">
        <v>3</v>
      </c>
      <c r="T10" s="14">
        <v>5</v>
      </c>
      <c r="U10" s="14"/>
      <c r="V10" s="15">
        <f t="shared" si="2"/>
        <v>17</v>
      </c>
      <c r="W10" s="3"/>
      <c r="X10" s="29" t="s">
        <v>13</v>
      </c>
      <c r="Y10" s="30">
        <v>335000</v>
      </c>
      <c r="Z10" s="31">
        <v>0.32830262642101138</v>
      </c>
      <c r="AA10" s="9"/>
      <c r="AB10" s="9"/>
      <c r="AC10" s="9"/>
      <c r="AD10" s="10"/>
      <c r="AE10" s="12">
        <v>46120</v>
      </c>
      <c r="AF10" s="14">
        <v>3</v>
      </c>
      <c r="AG10" s="14">
        <v>6</v>
      </c>
      <c r="AH10" s="14"/>
      <c r="AI10" s="14">
        <v>9</v>
      </c>
      <c r="AJ10" s="14">
        <v>0</v>
      </c>
      <c r="AK10" s="14">
        <v>0</v>
      </c>
      <c r="AL10" s="17">
        <v>0</v>
      </c>
      <c r="AM10" s="14">
        <v>1</v>
      </c>
      <c r="AN10" s="17"/>
      <c r="AO10" s="17"/>
      <c r="AP10" s="15">
        <f t="shared" si="3"/>
        <v>19</v>
      </c>
      <c r="AQ10" s="2"/>
      <c r="AR10" s="32" t="s">
        <v>25</v>
      </c>
      <c r="AS10" s="30">
        <v>468700</v>
      </c>
      <c r="AT10" s="31">
        <v>0.4593296746373971</v>
      </c>
      <c r="AU10" s="2"/>
      <c r="AV10" s="1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</row>
    <row r="11" spans="1:64" ht="16.5" customHeight="1">
      <c r="A11" s="1"/>
      <c r="B11" s="12">
        <v>46121</v>
      </c>
      <c r="C11" s="13">
        <v>0</v>
      </c>
      <c r="D11" s="13">
        <v>0</v>
      </c>
      <c r="E11" s="14" t="s">
        <v>33</v>
      </c>
      <c r="F11" s="14"/>
      <c r="G11" s="14">
        <v>2</v>
      </c>
      <c r="H11" s="14"/>
      <c r="I11" s="14"/>
      <c r="J11" s="14"/>
      <c r="K11" s="14">
        <v>5</v>
      </c>
      <c r="L11" s="14"/>
      <c r="M11" s="14"/>
      <c r="N11" s="14">
        <v>4</v>
      </c>
      <c r="O11" s="14">
        <v>3</v>
      </c>
      <c r="P11" s="14">
        <v>4</v>
      </c>
      <c r="Q11" s="14">
        <v>0</v>
      </c>
      <c r="R11" s="14"/>
      <c r="S11" s="14">
        <v>3</v>
      </c>
      <c r="T11" s="14">
        <v>2</v>
      </c>
      <c r="U11" s="14"/>
      <c r="V11" s="15">
        <f t="shared" si="2"/>
        <v>23</v>
      </c>
      <c r="W11" s="3"/>
      <c r="X11" s="33" t="s">
        <v>5</v>
      </c>
      <c r="Y11" s="30">
        <v>194400</v>
      </c>
      <c r="Z11" s="31">
        <v>0.19051352410819286</v>
      </c>
      <c r="AA11" s="9"/>
      <c r="AB11" s="9"/>
      <c r="AC11" s="9"/>
      <c r="AD11" s="10"/>
      <c r="AE11" s="12">
        <v>46121</v>
      </c>
      <c r="AF11" s="14">
        <v>0</v>
      </c>
      <c r="AG11" s="14">
        <v>3</v>
      </c>
      <c r="AH11" s="14"/>
      <c r="AI11" s="14">
        <v>3</v>
      </c>
      <c r="AJ11" s="14">
        <v>3</v>
      </c>
      <c r="AK11" s="14">
        <v>0</v>
      </c>
      <c r="AL11" s="17">
        <v>0</v>
      </c>
      <c r="AM11" s="14">
        <v>4</v>
      </c>
      <c r="AN11" s="17"/>
      <c r="AO11" s="17"/>
      <c r="AP11" s="15">
        <f t="shared" si="3"/>
        <v>13</v>
      </c>
      <c r="AQ11" s="2"/>
      <c r="AR11" s="32" t="s">
        <v>26</v>
      </c>
      <c r="AS11" s="30">
        <v>368700</v>
      </c>
      <c r="AT11" s="31">
        <v>0.36132889063112505</v>
      </c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</row>
    <row r="12" spans="1:64" ht="16.5" customHeight="1">
      <c r="A12" s="1"/>
      <c r="B12" s="12">
        <v>46122</v>
      </c>
      <c r="C12" s="13">
        <v>0</v>
      </c>
      <c r="D12" s="13">
        <v>0</v>
      </c>
      <c r="E12" s="14" t="s">
        <v>33</v>
      </c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5"/>
      <c r="W12" s="3"/>
      <c r="X12" s="33" t="s">
        <v>15</v>
      </c>
      <c r="Y12" s="30">
        <v>171900</v>
      </c>
      <c r="Z12" s="31">
        <v>0.16846334770678165</v>
      </c>
      <c r="AA12" s="9"/>
      <c r="AB12" s="9"/>
      <c r="AC12" s="9"/>
      <c r="AD12" s="10"/>
      <c r="AE12" s="12">
        <v>46122</v>
      </c>
      <c r="AF12" s="14"/>
      <c r="AG12" s="14"/>
      <c r="AH12" s="14"/>
      <c r="AI12" s="14"/>
      <c r="AJ12" s="14"/>
      <c r="AK12" s="14"/>
      <c r="AL12" s="17"/>
      <c r="AM12" s="14"/>
      <c r="AN12" s="17"/>
      <c r="AO12" s="17"/>
      <c r="AP12" s="15"/>
      <c r="AQ12" s="2"/>
      <c r="AR12" s="32" t="s">
        <v>24</v>
      </c>
      <c r="AS12" s="30">
        <v>74200</v>
      </c>
      <c r="AT12" s="31">
        <v>7.2716581732653857E-2</v>
      </c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</row>
    <row r="13" spans="1:64" ht="16.5" customHeight="1">
      <c r="A13" s="1"/>
      <c r="B13" s="12">
        <v>46123</v>
      </c>
      <c r="C13" s="13"/>
      <c r="D13" s="13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2"/>
      <c r="W13" s="3"/>
      <c r="X13" s="33" t="s">
        <v>12</v>
      </c>
      <c r="Y13" s="30">
        <v>90000</v>
      </c>
      <c r="Z13" s="31">
        <v>8.8200705605644844E-2</v>
      </c>
      <c r="AA13" s="9"/>
      <c r="AB13" s="9"/>
      <c r="AC13" s="9"/>
      <c r="AD13" s="10"/>
      <c r="AE13" s="12">
        <v>46123</v>
      </c>
      <c r="AF13" s="21"/>
      <c r="AG13" s="21"/>
      <c r="AH13" s="21"/>
      <c r="AI13" s="21"/>
      <c r="AJ13" s="21"/>
      <c r="AK13" s="21"/>
      <c r="AL13" s="23"/>
      <c r="AM13" s="21"/>
      <c r="AN13" s="23"/>
      <c r="AO13" s="23"/>
      <c r="AP13" s="22"/>
      <c r="AQ13" s="2"/>
      <c r="AR13" s="32" t="s">
        <v>27</v>
      </c>
      <c r="AS13" s="30">
        <v>59900</v>
      </c>
      <c r="AT13" s="31">
        <v>5.8702469619756961E-2</v>
      </c>
      <c r="AU13" s="1"/>
      <c r="AV13" s="1"/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  <c r="BI13" s="2"/>
      <c r="BJ13" s="1"/>
      <c r="BK13" s="1"/>
      <c r="BL13" s="1"/>
    </row>
    <row r="14" spans="1:64" ht="16.5" customHeight="1">
      <c r="A14" s="1"/>
      <c r="B14" s="12">
        <v>46124</v>
      </c>
      <c r="C14" s="13"/>
      <c r="D14" s="13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2"/>
      <c r="W14" s="3"/>
      <c r="X14" s="33" t="s">
        <v>3</v>
      </c>
      <c r="Y14" s="30">
        <v>79000</v>
      </c>
      <c r="Z14" s="31">
        <v>7.7420619364954923E-2</v>
      </c>
      <c r="AA14" s="9"/>
      <c r="AB14" s="9"/>
      <c r="AC14" s="9"/>
      <c r="AD14" s="10"/>
      <c r="AE14" s="12">
        <v>46124</v>
      </c>
      <c r="AF14" s="21"/>
      <c r="AG14" s="21"/>
      <c r="AH14" s="21"/>
      <c r="AI14" s="21"/>
      <c r="AJ14" s="21"/>
      <c r="AK14" s="21"/>
      <c r="AL14" s="23"/>
      <c r="AM14" s="21"/>
      <c r="AN14" s="23"/>
      <c r="AO14" s="23"/>
      <c r="AP14" s="22"/>
      <c r="AQ14" s="2"/>
      <c r="AR14" s="32" t="s">
        <v>30</v>
      </c>
      <c r="AS14" s="30">
        <v>48000</v>
      </c>
      <c r="AT14" s="31">
        <v>4.7040376323010585E-2</v>
      </c>
      <c r="AU14" s="1"/>
      <c r="AV14" s="1"/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  <c r="BI14" s="2"/>
      <c r="BJ14" s="1"/>
      <c r="BK14" s="1"/>
      <c r="BL14" s="1"/>
    </row>
    <row r="15" spans="1:64" ht="16.5" customHeight="1">
      <c r="A15" s="1"/>
      <c r="B15" s="12">
        <v>46125</v>
      </c>
      <c r="C15" s="13"/>
      <c r="D15" s="13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5"/>
      <c r="W15" s="3"/>
      <c r="X15" s="33" t="s">
        <v>9</v>
      </c>
      <c r="Y15" s="30">
        <v>62200</v>
      </c>
      <c r="Z15" s="31">
        <v>6.0956487651901217E-2</v>
      </c>
      <c r="AA15" s="9"/>
      <c r="AB15" s="9"/>
      <c r="AC15" s="9"/>
      <c r="AD15" s="10"/>
      <c r="AE15" s="12">
        <v>46125</v>
      </c>
      <c r="AF15" s="14"/>
      <c r="AG15" s="14"/>
      <c r="AH15" s="14"/>
      <c r="AI15" s="14"/>
      <c r="AJ15" s="14"/>
      <c r="AK15" s="14"/>
      <c r="AL15" s="17"/>
      <c r="AM15" s="14"/>
      <c r="AN15" s="17"/>
      <c r="AO15" s="17"/>
      <c r="AP15" s="15"/>
      <c r="AQ15" s="2"/>
      <c r="AR15" s="32" t="s">
        <v>28</v>
      </c>
      <c r="AS15" s="30">
        <v>900</v>
      </c>
      <c r="AT15" s="31">
        <v>8.8200705605644841E-4</v>
      </c>
      <c r="AU15" s="1"/>
      <c r="AV15" s="1"/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  <c r="BI15" s="2"/>
      <c r="BJ15" s="1"/>
      <c r="BK15" s="1"/>
      <c r="BL15" s="1"/>
    </row>
    <row r="16" spans="1:64" ht="16.5" customHeight="1">
      <c r="A16" s="1"/>
      <c r="B16" s="12">
        <v>46126</v>
      </c>
      <c r="C16" s="13"/>
      <c r="D16" s="13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5"/>
      <c r="W16" s="3"/>
      <c r="X16" s="33" t="s">
        <v>17</v>
      </c>
      <c r="Y16" s="30">
        <v>61500</v>
      </c>
      <c r="Z16" s="31">
        <v>6.027048216385731E-2</v>
      </c>
      <c r="AA16" s="9"/>
      <c r="AB16" s="9"/>
      <c r="AC16" s="9"/>
      <c r="AD16" s="10"/>
      <c r="AE16" s="12">
        <v>46126</v>
      </c>
      <c r="AF16" s="14"/>
      <c r="AG16" s="14"/>
      <c r="AH16" s="14"/>
      <c r="AI16" s="14"/>
      <c r="AJ16" s="14"/>
      <c r="AK16" s="14"/>
      <c r="AL16" s="17"/>
      <c r="AM16" s="14"/>
      <c r="AN16" s="17"/>
      <c r="AO16" s="17"/>
      <c r="AP16" s="15"/>
      <c r="AQ16" s="2"/>
      <c r="AR16" s="32" t="s">
        <v>29</v>
      </c>
      <c r="AS16" s="30">
        <v>0</v>
      </c>
      <c r="AT16" s="31">
        <v>0</v>
      </c>
      <c r="AU16" s="1"/>
      <c r="AV16" s="1"/>
      <c r="AW16" s="2"/>
      <c r="AX16" s="2"/>
      <c r="AY16" s="2"/>
      <c r="AZ16" s="2"/>
      <c r="BA16" s="2"/>
      <c r="BB16" s="2"/>
      <c r="BC16" s="2"/>
      <c r="BD16" s="2"/>
      <c r="BE16" s="2"/>
      <c r="BF16" s="2"/>
      <c r="BG16" s="2"/>
      <c r="BH16" s="2"/>
      <c r="BI16" s="2"/>
      <c r="BJ16" s="1"/>
      <c r="BK16" s="1"/>
      <c r="BL16" s="1"/>
    </row>
    <row r="17" spans="1:64" ht="16.5" customHeight="1">
      <c r="A17" s="1"/>
      <c r="B17" s="12">
        <v>46127</v>
      </c>
      <c r="C17" s="13"/>
      <c r="D17" s="13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5"/>
      <c r="W17" s="3"/>
      <c r="X17" s="33" t="s">
        <v>14</v>
      </c>
      <c r="Y17" s="30">
        <v>15100</v>
      </c>
      <c r="Z17" s="31">
        <v>1.479811838494708E-2</v>
      </c>
      <c r="AA17" s="9"/>
      <c r="AB17" s="9"/>
      <c r="AC17" s="9"/>
      <c r="AD17" s="10"/>
      <c r="AE17" s="12">
        <v>46127</v>
      </c>
      <c r="AF17" s="14"/>
      <c r="AG17" s="14"/>
      <c r="AH17" s="14"/>
      <c r="AI17" s="14"/>
      <c r="AJ17" s="14"/>
      <c r="AK17" s="14"/>
      <c r="AL17" s="17"/>
      <c r="AM17" s="14"/>
      <c r="AN17" s="17"/>
      <c r="AO17" s="17"/>
      <c r="AP17" s="15"/>
      <c r="AQ17" s="2"/>
      <c r="AR17" s="34" t="s">
        <v>20</v>
      </c>
      <c r="AS17" s="35">
        <f t="shared" ref="AS17:AT17" si="4">SUM(AS10:AS16)</f>
        <v>1020400</v>
      </c>
      <c r="AT17" s="36">
        <f t="shared" si="4"/>
        <v>1</v>
      </c>
      <c r="AU17" s="1"/>
      <c r="AV17" s="1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1"/>
      <c r="BK17" s="1"/>
      <c r="BL17" s="1"/>
    </row>
    <row r="18" spans="1:64" ht="16.5" customHeight="1">
      <c r="A18" s="1"/>
      <c r="B18" s="12">
        <v>46128</v>
      </c>
      <c r="C18" s="13"/>
      <c r="D18" s="13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5"/>
      <c r="W18" s="3"/>
      <c r="X18" s="33" t="s">
        <v>18</v>
      </c>
      <c r="Y18" s="30">
        <v>11300</v>
      </c>
      <c r="Z18" s="31">
        <v>1.1074088592708742E-2</v>
      </c>
      <c r="AA18" s="9"/>
      <c r="AB18" s="9"/>
      <c r="AC18" s="9"/>
      <c r="AD18" s="10"/>
      <c r="AE18" s="12">
        <v>46128</v>
      </c>
      <c r="AF18" s="14"/>
      <c r="AG18" s="14"/>
      <c r="AH18" s="14"/>
      <c r="AI18" s="14"/>
      <c r="AJ18" s="14"/>
      <c r="AK18" s="14"/>
      <c r="AL18" s="14"/>
      <c r="AM18" s="14"/>
      <c r="AN18" s="17"/>
      <c r="AO18" s="17"/>
      <c r="AP18" s="15"/>
      <c r="AQ18" s="2"/>
      <c r="AR18" s="1"/>
      <c r="AS18" s="1"/>
      <c r="AT18" s="1"/>
      <c r="AU18" s="1"/>
      <c r="AV18" s="1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1"/>
      <c r="BK18" s="1"/>
      <c r="BL18" s="1"/>
    </row>
    <row r="19" spans="1:64" ht="16.5" customHeight="1">
      <c r="A19" s="1"/>
      <c r="B19" s="12">
        <v>46129</v>
      </c>
      <c r="C19" s="13"/>
      <c r="D19" s="13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5"/>
      <c r="W19" s="3"/>
      <c r="X19" s="34" t="s">
        <v>20</v>
      </c>
      <c r="Y19" s="35">
        <f t="shared" ref="Y19:Z19" si="5">SUM(Y10:Y18)</f>
        <v>1020400</v>
      </c>
      <c r="Z19" s="36">
        <f t="shared" si="5"/>
        <v>1</v>
      </c>
      <c r="AA19" s="9"/>
      <c r="AB19" s="9"/>
      <c r="AC19" s="9"/>
      <c r="AD19" s="10"/>
      <c r="AE19" s="12">
        <v>46129</v>
      </c>
      <c r="AF19" s="14"/>
      <c r="AG19" s="14"/>
      <c r="AH19" s="14"/>
      <c r="AI19" s="14"/>
      <c r="AJ19" s="14"/>
      <c r="AK19" s="14"/>
      <c r="AL19" s="14"/>
      <c r="AM19" s="14"/>
      <c r="AN19" s="17"/>
      <c r="AO19" s="17"/>
      <c r="AP19" s="15"/>
      <c r="AQ19" s="2"/>
      <c r="AR19" s="37" t="s">
        <v>38</v>
      </c>
      <c r="AS19" s="26"/>
      <c r="AT19" s="26"/>
      <c r="AU19" s="26"/>
      <c r="AV19" s="27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1"/>
      <c r="BK19" s="1"/>
      <c r="BL19" s="1"/>
    </row>
    <row r="20" spans="1:64" ht="16.5" customHeight="1">
      <c r="A20" s="1"/>
      <c r="B20" s="12">
        <v>46130</v>
      </c>
      <c r="C20" s="13"/>
      <c r="D20" s="13"/>
      <c r="E20" s="21"/>
      <c r="F20" s="21"/>
      <c r="G20" s="21"/>
      <c r="H20" s="21"/>
      <c r="I20" s="21"/>
      <c r="J20" s="21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2"/>
      <c r="W20" s="3"/>
      <c r="X20" s="1"/>
      <c r="Y20" s="1"/>
      <c r="Z20" s="1"/>
      <c r="AA20" s="9"/>
      <c r="AB20" s="9"/>
      <c r="AC20" s="9"/>
      <c r="AD20" s="10"/>
      <c r="AE20" s="12">
        <v>46130</v>
      </c>
      <c r="AF20" s="21"/>
      <c r="AG20" s="21"/>
      <c r="AH20" s="21"/>
      <c r="AI20" s="21"/>
      <c r="AJ20" s="21"/>
      <c r="AK20" s="21"/>
      <c r="AL20" s="23"/>
      <c r="AM20" s="21"/>
      <c r="AN20" s="23"/>
      <c r="AO20" s="23"/>
      <c r="AP20" s="22"/>
      <c r="AQ20" s="2"/>
      <c r="AR20" s="38" t="s">
        <v>35</v>
      </c>
      <c r="AS20" s="38" t="s">
        <v>36</v>
      </c>
      <c r="AT20" s="38" t="s">
        <v>39</v>
      </c>
      <c r="AU20" s="39" t="s">
        <v>40</v>
      </c>
      <c r="AV20" s="39" t="s">
        <v>41</v>
      </c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1"/>
      <c r="BK20" s="1"/>
      <c r="BL20" s="1"/>
    </row>
    <row r="21" spans="1:64" ht="16.5" customHeight="1">
      <c r="A21" s="1"/>
      <c r="B21" s="12">
        <v>46131</v>
      </c>
      <c r="C21" s="13"/>
      <c r="D21" s="13"/>
      <c r="E21" s="21"/>
      <c r="F21" s="21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2"/>
      <c r="W21" s="3"/>
      <c r="X21" s="25" t="s">
        <v>42</v>
      </c>
      <c r="Y21" s="26"/>
      <c r="Z21" s="27"/>
      <c r="AA21" s="9"/>
      <c r="AB21" s="9"/>
      <c r="AC21" s="9"/>
      <c r="AD21" s="10"/>
      <c r="AE21" s="12">
        <v>46131</v>
      </c>
      <c r="AF21" s="21"/>
      <c r="AG21" s="21"/>
      <c r="AH21" s="21"/>
      <c r="AI21" s="21"/>
      <c r="AJ21" s="21"/>
      <c r="AK21" s="21"/>
      <c r="AL21" s="23"/>
      <c r="AM21" s="21"/>
      <c r="AN21" s="23"/>
      <c r="AO21" s="23"/>
      <c r="AP21" s="22"/>
      <c r="AQ21" s="2"/>
      <c r="AR21" s="40" t="s">
        <v>25</v>
      </c>
      <c r="AS21" s="41">
        <v>468700</v>
      </c>
      <c r="AT21" s="42">
        <v>1.1717500000000001</v>
      </c>
      <c r="AU21" s="43">
        <v>0</v>
      </c>
      <c r="AV21" s="43">
        <v>68700</v>
      </c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1"/>
      <c r="BL21" s="1"/>
    </row>
    <row r="22" spans="1:64" ht="16.5" customHeight="1">
      <c r="A22" s="1"/>
      <c r="B22" s="12">
        <v>46132</v>
      </c>
      <c r="C22" s="13"/>
      <c r="D22" s="13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5"/>
      <c r="W22" s="3"/>
      <c r="X22" s="28" t="s">
        <v>35</v>
      </c>
      <c r="Y22" s="28" t="s">
        <v>43</v>
      </c>
      <c r="Z22" s="28" t="s">
        <v>44</v>
      </c>
      <c r="AA22" s="9"/>
      <c r="AB22" s="9"/>
      <c r="AC22" s="9"/>
      <c r="AD22" s="10"/>
      <c r="AE22" s="12">
        <v>46132</v>
      </c>
      <c r="AF22" s="14"/>
      <c r="AG22" s="14"/>
      <c r="AH22" s="14"/>
      <c r="AI22" s="14"/>
      <c r="AJ22" s="14"/>
      <c r="AK22" s="14"/>
      <c r="AL22" s="17"/>
      <c r="AM22" s="14"/>
      <c r="AN22" s="17"/>
      <c r="AO22" s="17"/>
      <c r="AP22" s="15"/>
      <c r="AQ22" s="2"/>
      <c r="AR22" s="40" t="s">
        <v>26</v>
      </c>
      <c r="AS22" s="41">
        <v>368700</v>
      </c>
      <c r="AT22" s="42">
        <v>0.92174999999999996</v>
      </c>
      <c r="AU22" s="43">
        <v>31300</v>
      </c>
      <c r="AV22" s="43">
        <v>0</v>
      </c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</row>
    <row r="23" spans="1:64" ht="16.5" customHeight="1">
      <c r="A23" s="1"/>
      <c r="B23" s="12">
        <v>46133</v>
      </c>
      <c r="C23" s="13"/>
      <c r="D23" s="13"/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2"/>
      <c r="W23" s="3"/>
      <c r="X23" s="33" t="s">
        <v>18</v>
      </c>
      <c r="Y23" s="43">
        <v>30</v>
      </c>
      <c r="Z23" s="31">
        <v>0.19480519480519481</v>
      </c>
      <c r="AA23" s="9"/>
      <c r="AB23" s="9"/>
      <c r="AC23" s="9"/>
      <c r="AD23" s="10"/>
      <c r="AE23" s="12">
        <v>46133</v>
      </c>
      <c r="AF23" s="21"/>
      <c r="AG23" s="21"/>
      <c r="AH23" s="21"/>
      <c r="AI23" s="21"/>
      <c r="AJ23" s="21"/>
      <c r="AK23" s="21"/>
      <c r="AL23" s="23"/>
      <c r="AM23" s="21"/>
      <c r="AN23" s="23"/>
      <c r="AO23" s="23"/>
      <c r="AP23" s="22"/>
      <c r="AQ23" s="2"/>
      <c r="AR23" s="32" t="s">
        <v>24</v>
      </c>
      <c r="AS23" s="30">
        <v>74200</v>
      </c>
      <c r="AT23" s="31">
        <v>0.1855</v>
      </c>
      <c r="AU23" s="43">
        <v>325800</v>
      </c>
      <c r="AV23" s="43">
        <v>0</v>
      </c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</row>
    <row r="24" spans="1:64" ht="16.5" customHeight="1">
      <c r="A24" s="1"/>
      <c r="B24" s="12">
        <v>46134</v>
      </c>
      <c r="C24" s="13"/>
      <c r="D24" s="13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5"/>
      <c r="W24" s="3"/>
      <c r="X24" s="33" t="s">
        <v>12</v>
      </c>
      <c r="Y24" s="43">
        <v>22</v>
      </c>
      <c r="Z24" s="31">
        <v>0.14285714285714285</v>
      </c>
      <c r="AA24" s="9"/>
      <c r="AB24" s="9"/>
      <c r="AC24" s="9"/>
      <c r="AD24" s="10"/>
      <c r="AE24" s="12">
        <v>46134</v>
      </c>
      <c r="AF24" s="14"/>
      <c r="AG24" s="14"/>
      <c r="AH24" s="14"/>
      <c r="AI24" s="14"/>
      <c r="AJ24" s="14"/>
      <c r="AK24" s="14"/>
      <c r="AL24" s="17"/>
      <c r="AM24" s="14"/>
      <c r="AN24" s="17"/>
      <c r="AO24" s="17"/>
      <c r="AP24" s="15"/>
      <c r="AQ24" s="2"/>
      <c r="AR24" s="32" t="s">
        <v>27</v>
      </c>
      <c r="AS24" s="30">
        <v>59900</v>
      </c>
      <c r="AT24" s="31">
        <v>0.14974999999999999</v>
      </c>
      <c r="AU24" s="43">
        <v>340100</v>
      </c>
      <c r="AV24" s="43">
        <v>0</v>
      </c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</row>
    <row r="25" spans="1:64" ht="16.5" customHeight="1">
      <c r="A25" s="1"/>
      <c r="B25" s="12">
        <v>46135</v>
      </c>
      <c r="C25" s="13"/>
      <c r="D25" s="13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5"/>
      <c r="W25" s="3"/>
      <c r="X25" s="33" t="s">
        <v>14</v>
      </c>
      <c r="Y25" s="43">
        <v>22</v>
      </c>
      <c r="Z25" s="31">
        <v>0.14285714285714285</v>
      </c>
      <c r="AA25" s="9"/>
      <c r="AB25" s="9"/>
      <c r="AC25" s="9"/>
      <c r="AD25" s="10"/>
      <c r="AE25" s="12">
        <v>46135</v>
      </c>
      <c r="AF25" s="14"/>
      <c r="AG25" s="14"/>
      <c r="AH25" s="14"/>
      <c r="AI25" s="14"/>
      <c r="AJ25" s="14"/>
      <c r="AK25" s="14"/>
      <c r="AL25" s="17"/>
      <c r="AM25" s="14"/>
      <c r="AN25" s="17"/>
      <c r="AO25" s="17"/>
      <c r="AP25" s="15"/>
      <c r="AQ25" s="2"/>
      <c r="AR25" s="32" t="s">
        <v>30</v>
      </c>
      <c r="AS25" s="30">
        <v>48000</v>
      </c>
      <c r="AT25" s="31">
        <v>0.12</v>
      </c>
      <c r="AU25" s="43">
        <v>352000</v>
      </c>
      <c r="AV25" s="43">
        <v>0</v>
      </c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</row>
    <row r="26" spans="1:64" ht="16.5" customHeight="1">
      <c r="A26" s="1"/>
      <c r="B26" s="12">
        <v>46136</v>
      </c>
      <c r="C26" s="13"/>
      <c r="D26" s="13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5"/>
      <c r="W26" s="3"/>
      <c r="X26" s="33" t="s">
        <v>15</v>
      </c>
      <c r="Y26" s="43">
        <v>21</v>
      </c>
      <c r="Z26" s="31">
        <v>0.13636363636363635</v>
      </c>
      <c r="AA26" s="9"/>
      <c r="AB26" s="9"/>
      <c r="AC26" s="9"/>
      <c r="AD26" s="10"/>
      <c r="AE26" s="12">
        <v>46136</v>
      </c>
      <c r="AF26" s="14"/>
      <c r="AG26" s="14"/>
      <c r="AH26" s="14"/>
      <c r="AI26" s="14"/>
      <c r="AJ26" s="14"/>
      <c r="AK26" s="14"/>
      <c r="AL26" s="17"/>
      <c r="AM26" s="14"/>
      <c r="AN26" s="17"/>
      <c r="AO26" s="17"/>
      <c r="AP26" s="15"/>
      <c r="AQ26" s="2"/>
      <c r="AR26" s="32" t="s">
        <v>28</v>
      </c>
      <c r="AS26" s="30">
        <v>900</v>
      </c>
      <c r="AT26" s="31">
        <v>2.2499999999999998E-3</v>
      </c>
      <c r="AU26" s="43">
        <v>399100</v>
      </c>
      <c r="AV26" s="43">
        <v>0</v>
      </c>
      <c r="AW26" s="2"/>
      <c r="AX26" s="2"/>
      <c r="AY26" s="2"/>
      <c r="AZ26" s="2"/>
      <c r="BA26" s="2"/>
      <c r="BB26" s="2"/>
      <c r="BC26" s="2"/>
      <c r="BD26" s="2"/>
      <c r="BE26" s="2"/>
      <c r="BF26" s="2"/>
      <c r="BG26" s="2"/>
      <c r="BH26" s="2"/>
      <c r="BI26" s="2"/>
      <c r="BJ26" s="2"/>
      <c r="BK26" s="2"/>
      <c r="BL26" s="2"/>
    </row>
    <row r="27" spans="1:64" ht="16.5" customHeight="1">
      <c r="A27" s="1"/>
      <c r="B27" s="12">
        <v>46137</v>
      </c>
      <c r="C27" s="13"/>
      <c r="D27" s="13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2"/>
      <c r="W27" s="3"/>
      <c r="X27" s="33" t="s">
        <v>9</v>
      </c>
      <c r="Y27" s="43">
        <v>15</v>
      </c>
      <c r="Z27" s="31">
        <v>9.7402597402597407E-2</v>
      </c>
      <c r="AA27" s="9"/>
      <c r="AB27" s="9"/>
      <c r="AC27" s="9"/>
      <c r="AD27" s="10"/>
      <c r="AE27" s="12">
        <v>46137</v>
      </c>
      <c r="AF27" s="21"/>
      <c r="AG27" s="21"/>
      <c r="AH27" s="21"/>
      <c r="AI27" s="21"/>
      <c r="AJ27" s="21"/>
      <c r="AK27" s="21"/>
      <c r="AL27" s="23"/>
      <c r="AM27" s="21"/>
      <c r="AN27" s="23"/>
      <c r="AO27" s="23"/>
      <c r="AP27" s="22"/>
      <c r="AQ27" s="2"/>
      <c r="AR27" s="32" t="s">
        <v>29</v>
      </c>
      <c r="AS27" s="30">
        <v>0</v>
      </c>
      <c r="AT27" s="31">
        <v>0</v>
      </c>
      <c r="AU27" s="43">
        <v>400000</v>
      </c>
      <c r="AV27" s="44">
        <v>0</v>
      </c>
      <c r="AW27" s="2"/>
      <c r="AX27" s="2"/>
      <c r="AY27" s="2"/>
      <c r="AZ27" s="2"/>
      <c r="BA27" s="2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</row>
    <row r="28" spans="1:64" ht="16.5" customHeight="1">
      <c r="A28" s="1"/>
      <c r="B28" s="12">
        <v>46138</v>
      </c>
      <c r="C28" s="13"/>
      <c r="D28" s="13"/>
      <c r="E28" s="21"/>
      <c r="F28" s="21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2"/>
      <c r="W28" s="3"/>
      <c r="X28" s="33" t="s">
        <v>13</v>
      </c>
      <c r="Y28" s="43">
        <v>14</v>
      </c>
      <c r="Z28" s="31">
        <v>9.0909090909090912E-2</v>
      </c>
      <c r="AA28" s="9"/>
      <c r="AB28" s="9"/>
      <c r="AC28" s="9"/>
      <c r="AD28" s="10"/>
      <c r="AE28" s="12">
        <v>46138</v>
      </c>
      <c r="AF28" s="21"/>
      <c r="AG28" s="21"/>
      <c r="AH28" s="21"/>
      <c r="AI28" s="21"/>
      <c r="AJ28" s="21"/>
      <c r="AK28" s="21"/>
      <c r="AL28" s="23"/>
      <c r="AM28" s="21"/>
      <c r="AN28" s="23"/>
      <c r="AO28" s="23"/>
      <c r="AP28" s="22"/>
      <c r="AQ28" s="2"/>
      <c r="AR28" s="1"/>
      <c r="AS28" s="1"/>
      <c r="AT28" s="1"/>
      <c r="AU28" s="1"/>
      <c r="AV28" s="1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</row>
    <row r="29" spans="1:64" ht="16.5" customHeight="1">
      <c r="A29" s="1"/>
      <c r="B29" s="12">
        <v>46139</v>
      </c>
      <c r="C29" s="13"/>
      <c r="D29" s="13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5"/>
      <c r="W29" s="3"/>
      <c r="X29" s="33" t="s">
        <v>17</v>
      </c>
      <c r="Y29" s="43">
        <v>14</v>
      </c>
      <c r="Z29" s="31">
        <v>9.0909090909090912E-2</v>
      </c>
      <c r="AA29" s="9"/>
      <c r="AB29" s="9"/>
      <c r="AC29" s="9"/>
      <c r="AD29" s="10"/>
      <c r="AE29" s="12">
        <v>46139</v>
      </c>
      <c r="AF29" s="14"/>
      <c r="AG29" s="14"/>
      <c r="AH29" s="14"/>
      <c r="AI29" s="14"/>
      <c r="AJ29" s="14"/>
      <c r="AK29" s="14"/>
      <c r="AL29" s="17"/>
      <c r="AM29" s="14"/>
      <c r="AN29" s="17"/>
      <c r="AO29" s="17"/>
      <c r="AP29" s="15"/>
      <c r="AQ29" s="2"/>
      <c r="AR29" s="1"/>
      <c r="AS29" s="1"/>
      <c r="AT29" s="1"/>
      <c r="AU29" s="1"/>
      <c r="AV29" s="1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</row>
    <row r="30" spans="1:64" ht="16.5" customHeight="1">
      <c r="A30" s="1"/>
      <c r="B30" s="12">
        <v>46140</v>
      </c>
      <c r="C30" s="13"/>
      <c r="D30" s="13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5"/>
      <c r="W30" s="3"/>
      <c r="X30" s="33" t="s">
        <v>3</v>
      </c>
      <c r="Y30" s="43">
        <v>9</v>
      </c>
      <c r="Z30" s="31">
        <v>5.844155844155844E-2</v>
      </c>
      <c r="AA30" s="9"/>
      <c r="AB30" s="9"/>
      <c r="AC30" s="9"/>
      <c r="AD30" s="10"/>
      <c r="AE30" s="12">
        <v>46140</v>
      </c>
      <c r="AF30" s="14"/>
      <c r="AG30" s="14"/>
      <c r="AH30" s="14"/>
      <c r="AI30" s="14"/>
      <c r="AJ30" s="14"/>
      <c r="AK30" s="14"/>
      <c r="AL30" s="17"/>
      <c r="AM30" s="14"/>
      <c r="AN30" s="17"/>
      <c r="AO30" s="17"/>
      <c r="AP30" s="15"/>
      <c r="AQ30" s="2"/>
      <c r="AR30" s="1"/>
      <c r="AS30" s="1"/>
      <c r="AT30" s="1"/>
      <c r="AU30" s="1"/>
      <c r="AV30" s="1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</row>
    <row r="31" spans="1:64" ht="16.5" customHeight="1">
      <c r="A31" s="1"/>
      <c r="B31" s="12">
        <v>46141</v>
      </c>
      <c r="C31" s="13"/>
      <c r="D31" s="13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5"/>
      <c r="W31" s="3"/>
      <c r="X31" s="33" t="s">
        <v>5</v>
      </c>
      <c r="Y31" s="43">
        <v>7</v>
      </c>
      <c r="Z31" s="31">
        <v>4.5454545454545456E-2</v>
      </c>
      <c r="AA31" s="9"/>
      <c r="AB31" s="9"/>
      <c r="AC31" s="9"/>
      <c r="AD31" s="10"/>
      <c r="AE31" s="12">
        <v>46141</v>
      </c>
      <c r="AF31" s="14"/>
      <c r="AG31" s="14"/>
      <c r="AH31" s="14"/>
      <c r="AI31" s="14"/>
      <c r="AJ31" s="14"/>
      <c r="AK31" s="14"/>
      <c r="AL31" s="17"/>
      <c r="AM31" s="14"/>
      <c r="AN31" s="17"/>
      <c r="AO31" s="17"/>
      <c r="AP31" s="15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</row>
    <row r="32" spans="1:64" ht="16.5" customHeight="1">
      <c r="A32" s="1"/>
      <c r="B32" s="12">
        <v>46142</v>
      </c>
      <c r="C32" s="13"/>
      <c r="D32" s="13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45"/>
      <c r="W32" s="3"/>
      <c r="X32" s="46" t="s">
        <v>20</v>
      </c>
      <c r="Y32" s="47">
        <f t="shared" ref="Y32:Z32" si="6">SUM(Y23:Y31)</f>
        <v>154</v>
      </c>
      <c r="Z32" s="36">
        <f t="shared" si="6"/>
        <v>0.99999999999999989</v>
      </c>
      <c r="AA32" s="9"/>
      <c r="AB32" s="9"/>
      <c r="AC32" s="9"/>
      <c r="AD32" s="10"/>
      <c r="AE32" s="12">
        <v>46142</v>
      </c>
      <c r="AF32" s="14"/>
      <c r="AG32" s="14"/>
      <c r="AH32" s="14"/>
      <c r="AI32" s="14"/>
      <c r="AJ32" s="14"/>
      <c r="AK32" s="14"/>
      <c r="AL32" s="17"/>
      <c r="AM32" s="14"/>
      <c r="AN32" s="17"/>
      <c r="AO32" s="17"/>
      <c r="AP32" s="15"/>
      <c r="AQ32" s="2"/>
      <c r="AR32" s="2"/>
      <c r="AS32" s="2"/>
      <c r="AT32" s="2"/>
      <c r="AU32" s="2"/>
      <c r="AV32" s="1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</row>
    <row r="33" spans="1:64" ht="16.5" customHeight="1">
      <c r="A33" s="1"/>
      <c r="B33" s="48" t="s">
        <v>45</v>
      </c>
      <c r="C33" s="48">
        <f t="shared" ref="C33:V33" si="7">SUM(C3:C32)</f>
        <v>0</v>
      </c>
      <c r="D33" s="48">
        <f t="shared" si="7"/>
        <v>0</v>
      </c>
      <c r="E33" s="48">
        <f t="shared" si="7"/>
        <v>9</v>
      </c>
      <c r="F33" s="48">
        <f t="shared" si="7"/>
        <v>0</v>
      </c>
      <c r="G33" s="48">
        <f t="shared" si="7"/>
        <v>7</v>
      </c>
      <c r="H33" s="48">
        <f t="shared" si="7"/>
        <v>0</v>
      </c>
      <c r="I33" s="48">
        <f t="shared" si="7"/>
        <v>0</v>
      </c>
      <c r="J33" s="48">
        <f t="shared" si="7"/>
        <v>0</v>
      </c>
      <c r="K33" s="48">
        <f t="shared" si="7"/>
        <v>15</v>
      </c>
      <c r="L33" s="48">
        <f t="shared" si="7"/>
        <v>0</v>
      </c>
      <c r="M33" s="48">
        <f t="shared" si="7"/>
        <v>0</v>
      </c>
      <c r="N33" s="48">
        <f t="shared" si="7"/>
        <v>22</v>
      </c>
      <c r="O33" s="48">
        <f t="shared" si="7"/>
        <v>14</v>
      </c>
      <c r="P33" s="48">
        <f t="shared" si="7"/>
        <v>22</v>
      </c>
      <c r="Q33" s="48">
        <f t="shared" si="7"/>
        <v>21</v>
      </c>
      <c r="R33" s="48">
        <f t="shared" si="7"/>
        <v>0</v>
      </c>
      <c r="S33" s="48">
        <f t="shared" si="7"/>
        <v>14</v>
      </c>
      <c r="T33" s="48">
        <f t="shared" si="7"/>
        <v>30</v>
      </c>
      <c r="U33" s="48">
        <f t="shared" si="7"/>
        <v>0</v>
      </c>
      <c r="V33" s="48">
        <f t="shared" si="7"/>
        <v>154</v>
      </c>
      <c r="W33" s="3"/>
      <c r="X33" s="1"/>
      <c r="Y33" s="1"/>
      <c r="Z33" s="1"/>
      <c r="AA33" s="9"/>
      <c r="AB33" s="9"/>
      <c r="AC33" s="9"/>
      <c r="AD33" s="10"/>
      <c r="AE33" s="49" t="s">
        <v>46</v>
      </c>
      <c r="AF33" s="49">
        <f t="shared" ref="AF33:AP33" si="8">SUM(AF3:AF32)</f>
        <v>12</v>
      </c>
      <c r="AG33" s="49">
        <f t="shared" si="8"/>
        <v>45</v>
      </c>
      <c r="AH33" s="49">
        <f t="shared" si="8"/>
        <v>0</v>
      </c>
      <c r="AI33" s="49">
        <f t="shared" si="8"/>
        <v>36</v>
      </c>
      <c r="AJ33" s="49">
        <f t="shared" si="8"/>
        <v>23</v>
      </c>
      <c r="AK33" s="49">
        <f t="shared" si="8"/>
        <v>0</v>
      </c>
      <c r="AL33" s="50">
        <f t="shared" si="8"/>
        <v>0</v>
      </c>
      <c r="AM33" s="49">
        <f t="shared" si="8"/>
        <v>5</v>
      </c>
      <c r="AN33" s="49">
        <f t="shared" si="8"/>
        <v>0</v>
      </c>
      <c r="AO33" s="50">
        <f t="shared" si="8"/>
        <v>0</v>
      </c>
      <c r="AP33" s="49">
        <f t="shared" si="8"/>
        <v>121</v>
      </c>
      <c r="AQ33" s="2"/>
      <c r="AR33" s="2"/>
      <c r="AS33" s="2"/>
      <c r="AT33" s="2"/>
      <c r="AU33" s="2"/>
      <c r="AV33" s="1"/>
      <c r="AW33" s="2"/>
      <c r="AX33" s="2"/>
      <c r="AY33" s="2"/>
      <c r="AZ33" s="2"/>
      <c r="BA33" s="2"/>
      <c r="BB33" s="2"/>
      <c r="BC33" s="2"/>
      <c r="BD33" s="2"/>
      <c r="BE33" s="2"/>
      <c r="BF33" s="2"/>
      <c r="BG33" s="2"/>
      <c r="BH33" s="2"/>
      <c r="BI33" s="2"/>
      <c r="BJ33" s="2"/>
      <c r="BK33" s="2"/>
      <c r="BL33" s="2"/>
    </row>
    <row r="34" spans="1:64" ht="16.5" customHeight="1">
      <c r="A34" s="2"/>
      <c r="B34" s="8" t="s">
        <v>47</v>
      </c>
      <c r="C34" s="51">
        <f t="shared" ref="C34:D34" si="9">AVERAGE(C3:C32)</f>
        <v>0</v>
      </c>
      <c r="D34" s="51">
        <f t="shared" si="9"/>
        <v>0</v>
      </c>
      <c r="E34" s="52">
        <f>E33/$B$49</f>
        <v>4.5</v>
      </c>
      <c r="F34" s="52">
        <f t="shared" ref="F34:T34" si="10">F33/$Y$3</f>
        <v>0</v>
      </c>
      <c r="G34" s="52">
        <f t="shared" si="10"/>
        <v>1.1666666666666667</v>
      </c>
      <c r="H34" s="52">
        <f t="shared" si="10"/>
        <v>0</v>
      </c>
      <c r="I34" s="52">
        <f t="shared" si="10"/>
        <v>0</v>
      </c>
      <c r="J34" s="52">
        <f t="shared" si="10"/>
        <v>0</v>
      </c>
      <c r="K34" s="52">
        <f t="shared" si="10"/>
        <v>2.5</v>
      </c>
      <c r="L34" s="52">
        <f t="shared" si="10"/>
        <v>0</v>
      </c>
      <c r="M34" s="52">
        <f t="shared" si="10"/>
        <v>0</v>
      </c>
      <c r="N34" s="52">
        <f t="shared" si="10"/>
        <v>3.6666666666666665</v>
      </c>
      <c r="O34" s="52">
        <f t="shared" si="10"/>
        <v>2.3333333333333335</v>
      </c>
      <c r="P34" s="52">
        <f t="shared" si="10"/>
        <v>3.6666666666666665</v>
      </c>
      <c r="Q34" s="52">
        <f t="shared" si="10"/>
        <v>3.5</v>
      </c>
      <c r="R34" s="52">
        <f t="shared" si="10"/>
        <v>0</v>
      </c>
      <c r="S34" s="52">
        <f t="shared" si="10"/>
        <v>2.3333333333333335</v>
      </c>
      <c r="T34" s="52">
        <f t="shared" si="10"/>
        <v>5</v>
      </c>
      <c r="U34" s="53" t="e">
        <f>AVERAGE(U3:U32)</f>
        <v>#DIV/0!</v>
      </c>
      <c r="V34" s="54">
        <f>V33/$Y$3</f>
        <v>25.666666666666668</v>
      </c>
      <c r="W34" s="3"/>
      <c r="X34" s="25" t="s">
        <v>38</v>
      </c>
      <c r="Y34" s="26"/>
      <c r="Z34" s="26"/>
      <c r="AA34" s="26"/>
      <c r="AB34" s="27"/>
      <c r="AC34" s="55"/>
      <c r="AD34" s="56"/>
      <c r="AE34" s="57" t="s">
        <v>47</v>
      </c>
      <c r="AF34" s="58">
        <f t="shared" ref="AF34:AN34" si="11">AF33/$AS$3</f>
        <v>2</v>
      </c>
      <c r="AG34" s="58">
        <f t="shared" si="11"/>
        <v>7.5</v>
      </c>
      <c r="AH34" s="58">
        <f t="shared" si="11"/>
        <v>0</v>
      </c>
      <c r="AI34" s="58">
        <f t="shared" si="11"/>
        <v>6</v>
      </c>
      <c r="AJ34" s="58">
        <f t="shared" si="11"/>
        <v>3.8333333333333335</v>
      </c>
      <c r="AK34" s="58">
        <f t="shared" si="11"/>
        <v>0</v>
      </c>
      <c r="AL34" s="58">
        <f t="shared" si="11"/>
        <v>0</v>
      </c>
      <c r="AM34" s="58">
        <f t="shared" si="11"/>
        <v>0.83333333333333337</v>
      </c>
      <c r="AN34" s="58">
        <f t="shared" si="11"/>
        <v>0</v>
      </c>
      <c r="AO34" s="59" t="e">
        <f>AVERAGE(AO3:AO32)</f>
        <v>#DIV/0!</v>
      </c>
      <c r="AP34" s="58">
        <f>AP33/$AS$3</f>
        <v>20.166666666666668</v>
      </c>
      <c r="AQ34" s="2"/>
      <c r="AR34" s="2"/>
      <c r="AS34" s="2"/>
      <c r="AT34" s="2"/>
      <c r="AU34" s="2"/>
      <c r="AV34" s="1"/>
      <c r="AW34" s="2"/>
      <c r="AX34" s="2"/>
      <c r="AY34" s="2"/>
      <c r="AZ34" s="2"/>
      <c r="BA34" s="2"/>
      <c r="BB34" s="2"/>
      <c r="BC34" s="2"/>
      <c r="BD34" s="2"/>
      <c r="BE34" s="2"/>
      <c r="BF34" s="2"/>
      <c r="BG34" s="2"/>
      <c r="BH34" s="2"/>
      <c r="BI34" s="2"/>
      <c r="BJ34" s="2"/>
      <c r="BK34" s="2"/>
      <c r="BL34" s="2"/>
    </row>
    <row r="35" spans="1:64" ht="16.5" customHeight="1">
      <c r="A35" s="2"/>
      <c r="B35" s="8" t="s">
        <v>48</v>
      </c>
      <c r="C35" s="48"/>
      <c r="D35" s="48"/>
      <c r="E35" s="60">
        <f t="shared" ref="E35:T35" si="12">E33/$V$33</f>
        <v>5.844155844155844E-2</v>
      </c>
      <c r="F35" s="60">
        <f t="shared" si="12"/>
        <v>0</v>
      </c>
      <c r="G35" s="60">
        <f t="shared" si="12"/>
        <v>4.5454545454545456E-2</v>
      </c>
      <c r="H35" s="60">
        <f t="shared" si="12"/>
        <v>0</v>
      </c>
      <c r="I35" s="60">
        <f t="shared" si="12"/>
        <v>0</v>
      </c>
      <c r="J35" s="60">
        <f t="shared" si="12"/>
        <v>0</v>
      </c>
      <c r="K35" s="60">
        <f t="shared" si="12"/>
        <v>9.7402597402597407E-2</v>
      </c>
      <c r="L35" s="60">
        <f t="shared" si="12"/>
        <v>0</v>
      </c>
      <c r="M35" s="60">
        <f t="shared" si="12"/>
        <v>0</v>
      </c>
      <c r="N35" s="60">
        <f t="shared" si="12"/>
        <v>0.14285714285714285</v>
      </c>
      <c r="O35" s="60">
        <f t="shared" si="12"/>
        <v>9.0909090909090912E-2</v>
      </c>
      <c r="P35" s="60">
        <f t="shared" si="12"/>
        <v>0.14285714285714285</v>
      </c>
      <c r="Q35" s="60">
        <f t="shared" si="12"/>
        <v>0.13636363636363635</v>
      </c>
      <c r="R35" s="60">
        <f t="shared" si="12"/>
        <v>0</v>
      </c>
      <c r="S35" s="60">
        <f t="shared" si="12"/>
        <v>9.0909090909090912E-2</v>
      </c>
      <c r="T35" s="60">
        <f t="shared" si="12"/>
        <v>0.19480519480519481</v>
      </c>
      <c r="U35" s="48"/>
      <c r="V35" s="60">
        <f>SUM(E35:T35)</f>
        <v>1</v>
      </c>
      <c r="W35" s="3"/>
      <c r="X35" s="38" t="s">
        <v>35</v>
      </c>
      <c r="Y35" s="38" t="s">
        <v>36</v>
      </c>
      <c r="Z35" s="38" t="s">
        <v>39</v>
      </c>
      <c r="AA35" s="38" t="s">
        <v>40</v>
      </c>
      <c r="AB35" s="38" t="s">
        <v>41</v>
      </c>
      <c r="AC35" s="55"/>
      <c r="AD35" s="56"/>
      <c r="AE35" s="57" t="s">
        <v>49</v>
      </c>
      <c r="AF35" s="57">
        <v>2</v>
      </c>
      <c r="AG35" s="57">
        <v>8</v>
      </c>
      <c r="AH35" s="57"/>
      <c r="AI35" s="57">
        <v>4</v>
      </c>
      <c r="AJ35" s="57">
        <v>0</v>
      </c>
      <c r="AK35" s="57">
        <v>0</v>
      </c>
      <c r="AL35" s="61">
        <v>0</v>
      </c>
      <c r="AM35" s="57">
        <v>2</v>
      </c>
      <c r="AN35" s="57">
        <v>0</v>
      </c>
      <c r="AO35" s="61"/>
      <c r="AP35" s="57">
        <f t="shared" ref="AP35:AP36" si="13">SUM(AF35:AO35)</f>
        <v>16</v>
      </c>
      <c r="AQ35" s="2"/>
      <c r="AR35" s="62"/>
      <c r="AS35" s="2"/>
      <c r="AT35" s="2"/>
      <c r="AU35" s="2"/>
      <c r="AV35" s="2"/>
      <c r="AW35" s="2"/>
      <c r="AX35" s="2"/>
      <c r="AY35" s="2"/>
      <c r="AZ35" s="2"/>
      <c r="BA35" s="2"/>
      <c r="BB35" s="2"/>
      <c r="BC35" s="2"/>
      <c r="BD35" s="2"/>
      <c r="BE35" s="2"/>
      <c r="BF35" s="2"/>
      <c r="BG35" s="2"/>
      <c r="BH35" s="2"/>
      <c r="BI35" s="2"/>
      <c r="BJ35" s="2"/>
      <c r="BK35" s="2"/>
      <c r="BL35" s="2"/>
    </row>
    <row r="36" spans="1:64" ht="16.5" customHeight="1">
      <c r="A36" s="2"/>
      <c r="B36" s="48" t="s">
        <v>46</v>
      </c>
      <c r="C36" s="48">
        <v>0</v>
      </c>
      <c r="D36" s="48">
        <v>0</v>
      </c>
      <c r="E36" s="48">
        <v>33</v>
      </c>
      <c r="F36" s="48">
        <v>0</v>
      </c>
      <c r="G36" s="48">
        <v>13</v>
      </c>
      <c r="H36" s="48">
        <v>0</v>
      </c>
      <c r="I36" s="48">
        <v>0</v>
      </c>
      <c r="J36" s="48">
        <v>0</v>
      </c>
      <c r="K36" s="48">
        <v>13</v>
      </c>
      <c r="L36" s="48">
        <v>0</v>
      </c>
      <c r="M36" s="48">
        <v>0</v>
      </c>
      <c r="N36" s="48">
        <v>37</v>
      </c>
      <c r="O36" s="48">
        <v>6</v>
      </c>
      <c r="P36" s="48">
        <v>5</v>
      </c>
      <c r="Q36" s="48">
        <v>5</v>
      </c>
      <c r="R36" s="48">
        <v>0</v>
      </c>
      <c r="S36" s="48">
        <v>6</v>
      </c>
      <c r="T36" s="48">
        <v>3</v>
      </c>
      <c r="U36" s="48" t="s">
        <v>33</v>
      </c>
      <c r="V36" s="48">
        <f>SUM(C36:U36)</f>
        <v>121</v>
      </c>
      <c r="W36" s="3"/>
      <c r="X36" s="13" t="s">
        <v>13</v>
      </c>
      <c r="Y36" s="63">
        <v>335000</v>
      </c>
      <c r="Z36" s="64">
        <v>0.83750000000000002</v>
      </c>
      <c r="AA36" s="65">
        <v>65000</v>
      </c>
      <c r="AB36" s="65">
        <v>0</v>
      </c>
      <c r="AC36" s="55"/>
      <c r="AD36" s="56"/>
      <c r="AE36" s="49" t="s">
        <v>50</v>
      </c>
      <c r="AF36" s="49">
        <f t="shared" ref="AF36:AO36" si="14">SUM(AF33,AF35,)</f>
        <v>14</v>
      </c>
      <c r="AG36" s="49">
        <f t="shared" si="14"/>
        <v>53</v>
      </c>
      <c r="AH36" s="49">
        <f t="shared" si="14"/>
        <v>0</v>
      </c>
      <c r="AI36" s="49">
        <f t="shared" si="14"/>
        <v>40</v>
      </c>
      <c r="AJ36" s="49">
        <f t="shared" si="14"/>
        <v>23</v>
      </c>
      <c r="AK36" s="49">
        <f t="shared" si="14"/>
        <v>0</v>
      </c>
      <c r="AL36" s="50">
        <f t="shared" si="14"/>
        <v>0</v>
      </c>
      <c r="AM36" s="49">
        <f t="shared" si="14"/>
        <v>7</v>
      </c>
      <c r="AN36" s="49">
        <f t="shared" si="14"/>
        <v>0</v>
      </c>
      <c r="AO36" s="50">
        <f t="shared" si="14"/>
        <v>0</v>
      </c>
      <c r="AP36" s="49">
        <f t="shared" si="13"/>
        <v>137</v>
      </c>
      <c r="AQ36" s="2"/>
      <c r="AR36" s="1"/>
      <c r="AS36" s="2"/>
      <c r="AT36" s="2"/>
      <c r="AU36" s="2"/>
      <c r="AV36" s="2"/>
      <c r="AW36" s="2"/>
      <c r="AX36" s="2"/>
      <c r="AY36" s="2"/>
      <c r="AZ36" s="2"/>
      <c r="BA36" s="2"/>
      <c r="BB36" s="2"/>
      <c r="BC36" s="2"/>
      <c r="BD36" s="2"/>
      <c r="BE36" s="2"/>
      <c r="BF36" s="2"/>
      <c r="BG36" s="2"/>
      <c r="BH36" s="2"/>
      <c r="BI36" s="2"/>
      <c r="BJ36" s="2"/>
      <c r="BK36" s="2"/>
      <c r="BL36" s="2"/>
    </row>
    <row r="37" spans="1:64" ht="16.5" customHeight="1">
      <c r="A37" s="2"/>
      <c r="B37" s="8" t="s">
        <v>47</v>
      </c>
      <c r="C37" s="66">
        <f t="shared" ref="C37:D37" si="15">C36/$Y$3</f>
        <v>0</v>
      </c>
      <c r="D37" s="66">
        <f t="shared" si="15"/>
        <v>0</v>
      </c>
      <c r="E37" s="67">
        <f>E36/$B$49</f>
        <v>16.5</v>
      </c>
      <c r="F37" s="67">
        <f>F36/$Y$3</f>
        <v>0</v>
      </c>
      <c r="G37" s="67">
        <v>8</v>
      </c>
      <c r="H37" s="67">
        <f t="shared" ref="H37:T37" si="16">H36/$Y$3</f>
        <v>0</v>
      </c>
      <c r="I37" s="67">
        <f t="shared" si="16"/>
        <v>0</v>
      </c>
      <c r="J37" s="67">
        <f t="shared" si="16"/>
        <v>0</v>
      </c>
      <c r="K37" s="67">
        <f t="shared" si="16"/>
        <v>2.1666666666666665</v>
      </c>
      <c r="L37" s="67">
        <f t="shared" si="16"/>
        <v>0</v>
      </c>
      <c r="M37" s="67">
        <f t="shared" si="16"/>
        <v>0</v>
      </c>
      <c r="N37" s="67">
        <f t="shared" si="16"/>
        <v>6.166666666666667</v>
      </c>
      <c r="O37" s="67">
        <f t="shared" si="16"/>
        <v>1</v>
      </c>
      <c r="P37" s="67">
        <f t="shared" si="16"/>
        <v>0.83333333333333337</v>
      </c>
      <c r="Q37" s="67">
        <f t="shared" si="16"/>
        <v>0.83333333333333337</v>
      </c>
      <c r="R37" s="67">
        <f t="shared" si="16"/>
        <v>0</v>
      </c>
      <c r="S37" s="67">
        <f t="shared" si="16"/>
        <v>1</v>
      </c>
      <c r="T37" s="67">
        <f t="shared" si="16"/>
        <v>0.5</v>
      </c>
      <c r="U37" s="68"/>
      <c r="V37" s="69">
        <f>V36/Y3</f>
        <v>20.166666666666668</v>
      </c>
      <c r="W37" s="3"/>
      <c r="X37" s="13" t="s">
        <v>5</v>
      </c>
      <c r="Y37" s="63">
        <v>194400</v>
      </c>
      <c r="Z37" s="64">
        <v>0.48599999999999999</v>
      </c>
      <c r="AA37" s="65">
        <v>205600</v>
      </c>
      <c r="AB37" s="65">
        <v>0</v>
      </c>
      <c r="AC37" s="55"/>
      <c r="AD37" s="56"/>
      <c r="AE37" s="57" t="s">
        <v>51</v>
      </c>
      <c r="AF37" s="70">
        <f t="shared" ref="AF37:AN37" si="17">AF34*$AR$3</f>
        <v>40</v>
      </c>
      <c r="AG37" s="70">
        <f t="shared" si="17"/>
        <v>150</v>
      </c>
      <c r="AH37" s="70">
        <f t="shared" si="17"/>
        <v>0</v>
      </c>
      <c r="AI37" s="70">
        <f t="shared" si="17"/>
        <v>120</v>
      </c>
      <c r="AJ37" s="70">
        <f t="shared" si="17"/>
        <v>76.666666666666671</v>
      </c>
      <c r="AK37" s="70">
        <f t="shared" si="17"/>
        <v>0</v>
      </c>
      <c r="AL37" s="70">
        <f t="shared" si="17"/>
        <v>0</v>
      </c>
      <c r="AM37" s="70">
        <f t="shared" si="17"/>
        <v>16.666666666666668</v>
      </c>
      <c r="AN37" s="70">
        <f t="shared" si="17"/>
        <v>0</v>
      </c>
      <c r="AO37" s="71"/>
      <c r="AP37" s="70">
        <f>AP34*$AR$3</f>
        <v>403.33333333333337</v>
      </c>
      <c r="AQ37" s="2"/>
      <c r="AR37" s="1"/>
      <c r="AS37" s="2"/>
      <c r="AT37" s="2"/>
      <c r="AU37" s="2"/>
      <c r="AV37" s="2"/>
      <c r="AW37" s="2"/>
      <c r="AX37" s="2"/>
      <c r="AY37" s="2"/>
      <c r="AZ37" s="2"/>
      <c r="BA37" s="2"/>
      <c r="BB37" s="2"/>
      <c r="BC37" s="2"/>
      <c r="BD37" s="2"/>
      <c r="BE37" s="2"/>
      <c r="BF37" s="2"/>
      <c r="BG37" s="2"/>
      <c r="BH37" s="2"/>
      <c r="BI37" s="2"/>
      <c r="BJ37" s="2"/>
      <c r="BK37" s="2"/>
      <c r="BL37" s="2"/>
    </row>
    <row r="38" spans="1:64" ht="16.5" customHeight="1">
      <c r="A38" s="2"/>
      <c r="B38" s="8" t="s">
        <v>49</v>
      </c>
      <c r="C38" s="8">
        <v>0</v>
      </c>
      <c r="D38" s="8">
        <v>0</v>
      </c>
      <c r="E38" s="8">
        <v>0</v>
      </c>
      <c r="F38" s="8">
        <v>0</v>
      </c>
      <c r="G38" s="8">
        <v>4</v>
      </c>
      <c r="H38" s="8">
        <v>0</v>
      </c>
      <c r="I38" s="8">
        <v>0</v>
      </c>
      <c r="J38" s="8">
        <v>0</v>
      </c>
      <c r="K38" s="8">
        <v>2</v>
      </c>
      <c r="L38" s="8">
        <v>0</v>
      </c>
      <c r="M38" s="8">
        <v>0</v>
      </c>
      <c r="N38" s="8">
        <v>0</v>
      </c>
      <c r="O38" s="8">
        <v>4</v>
      </c>
      <c r="P38" s="8">
        <v>0</v>
      </c>
      <c r="Q38" s="8">
        <v>4</v>
      </c>
      <c r="R38" s="8">
        <v>0</v>
      </c>
      <c r="S38" s="8">
        <v>2</v>
      </c>
      <c r="T38" s="8">
        <v>0</v>
      </c>
      <c r="U38" s="72" t="s">
        <v>33</v>
      </c>
      <c r="V38" s="8">
        <f t="shared" ref="V38:V39" si="18">SUM(C38:T38)</f>
        <v>16</v>
      </c>
      <c r="W38" s="3"/>
      <c r="X38" s="13" t="s">
        <v>15</v>
      </c>
      <c r="Y38" s="63">
        <v>171900</v>
      </c>
      <c r="Z38" s="64">
        <v>0.42975000000000002</v>
      </c>
      <c r="AA38" s="65">
        <v>228100</v>
      </c>
      <c r="AB38" s="65">
        <v>0</v>
      </c>
      <c r="AC38" s="55"/>
      <c r="AD38" s="56"/>
      <c r="AE38" s="73" t="s">
        <v>52</v>
      </c>
      <c r="AF38" s="74">
        <v>74200</v>
      </c>
      <c r="AG38" s="74">
        <v>468700</v>
      </c>
      <c r="AH38" s="74"/>
      <c r="AI38" s="74">
        <v>368700</v>
      </c>
      <c r="AJ38" s="74">
        <v>59900</v>
      </c>
      <c r="AK38" s="74">
        <v>900</v>
      </c>
      <c r="AL38" s="75">
        <v>0</v>
      </c>
      <c r="AM38" s="74">
        <v>48000</v>
      </c>
      <c r="AN38" s="75">
        <v>0</v>
      </c>
      <c r="AO38" s="75"/>
      <c r="AP38" s="74">
        <f>SUM(AF38:AO38)</f>
        <v>1020400</v>
      </c>
      <c r="AQ38" s="2"/>
      <c r="AR38" s="2"/>
      <c r="AS38" s="2"/>
      <c r="AT38" s="2"/>
      <c r="AU38" s="2"/>
      <c r="AV38" s="2"/>
      <c r="AW38" s="2"/>
      <c r="AX38" s="2"/>
      <c r="AY38" s="2"/>
      <c r="AZ38" s="2"/>
      <c r="BA38" s="2"/>
      <c r="BB38" s="2"/>
      <c r="BC38" s="2"/>
      <c r="BD38" s="2"/>
      <c r="BE38" s="2"/>
      <c r="BF38" s="2"/>
      <c r="BG38" s="2"/>
      <c r="BH38" s="2"/>
      <c r="BI38" s="2"/>
      <c r="BJ38" s="2"/>
      <c r="BK38" s="2"/>
      <c r="BL38" s="2"/>
    </row>
    <row r="39" spans="1:64" ht="16.5" customHeight="1">
      <c r="A39" s="2"/>
      <c r="B39" s="48" t="s">
        <v>50</v>
      </c>
      <c r="C39" s="48">
        <f t="shared" ref="C39:T39" si="19">C36+C38</f>
        <v>0</v>
      </c>
      <c r="D39" s="48">
        <f t="shared" si="19"/>
        <v>0</v>
      </c>
      <c r="E39" s="48">
        <f t="shared" si="19"/>
        <v>33</v>
      </c>
      <c r="F39" s="48">
        <f t="shared" si="19"/>
        <v>0</v>
      </c>
      <c r="G39" s="48">
        <f t="shared" si="19"/>
        <v>17</v>
      </c>
      <c r="H39" s="48">
        <f t="shared" si="19"/>
        <v>0</v>
      </c>
      <c r="I39" s="48">
        <f t="shared" si="19"/>
        <v>0</v>
      </c>
      <c r="J39" s="48">
        <f t="shared" si="19"/>
        <v>0</v>
      </c>
      <c r="K39" s="48">
        <f t="shared" si="19"/>
        <v>15</v>
      </c>
      <c r="L39" s="48">
        <f t="shared" si="19"/>
        <v>0</v>
      </c>
      <c r="M39" s="48">
        <f t="shared" si="19"/>
        <v>0</v>
      </c>
      <c r="N39" s="48">
        <f t="shared" si="19"/>
        <v>37</v>
      </c>
      <c r="O39" s="48">
        <f t="shared" si="19"/>
        <v>10</v>
      </c>
      <c r="P39" s="48">
        <f t="shared" si="19"/>
        <v>5</v>
      </c>
      <c r="Q39" s="48">
        <f t="shared" si="19"/>
        <v>9</v>
      </c>
      <c r="R39" s="48">
        <f t="shared" si="19"/>
        <v>0</v>
      </c>
      <c r="S39" s="48">
        <f t="shared" si="19"/>
        <v>8</v>
      </c>
      <c r="T39" s="48">
        <f t="shared" si="19"/>
        <v>3</v>
      </c>
      <c r="U39" s="48"/>
      <c r="V39" s="76">
        <f t="shared" si="18"/>
        <v>137</v>
      </c>
      <c r="W39" s="3"/>
      <c r="X39" s="13" t="s">
        <v>12</v>
      </c>
      <c r="Y39" s="63">
        <v>90000</v>
      </c>
      <c r="Z39" s="64">
        <v>0.22500000000000001</v>
      </c>
      <c r="AA39" s="65">
        <v>310000</v>
      </c>
      <c r="AB39" s="65">
        <v>0</v>
      </c>
      <c r="AC39" s="55"/>
      <c r="AD39" s="56"/>
      <c r="AE39" s="57" t="s">
        <v>53</v>
      </c>
      <c r="AF39" s="70">
        <f t="shared" ref="AF39:AN39" si="20">AF38/$AS$3</f>
        <v>12366.666666666666</v>
      </c>
      <c r="AG39" s="70">
        <f t="shared" si="20"/>
        <v>78116.666666666672</v>
      </c>
      <c r="AH39" s="70">
        <f t="shared" si="20"/>
        <v>0</v>
      </c>
      <c r="AI39" s="70">
        <f t="shared" si="20"/>
        <v>61450</v>
      </c>
      <c r="AJ39" s="70">
        <f t="shared" si="20"/>
        <v>9983.3333333333339</v>
      </c>
      <c r="AK39" s="70">
        <f t="shared" si="20"/>
        <v>150</v>
      </c>
      <c r="AL39" s="70">
        <f t="shared" si="20"/>
        <v>0</v>
      </c>
      <c r="AM39" s="70">
        <f t="shared" si="20"/>
        <v>8000</v>
      </c>
      <c r="AN39" s="70">
        <f t="shared" si="20"/>
        <v>0</v>
      </c>
      <c r="AO39" s="70"/>
      <c r="AP39" s="70">
        <f>AP38/$AS$3</f>
        <v>170066.66666666666</v>
      </c>
      <c r="AQ39" s="2"/>
      <c r="AR39" s="2"/>
      <c r="AS39" s="2"/>
      <c r="AT39" s="2"/>
      <c r="AU39" s="2"/>
      <c r="AV39" s="2"/>
      <c r="AW39" s="2"/>
      <c r="AX39" s="2"/>
      <c r="AY39" s="2"/>
      <c r="AZ39" s="2"/>
      <c r="BA39" s="2"/>
      <c r="BB39" s="2"/>
      <c r="BC39" s="2"/>
      <c r="BD39" s="2"/>
      <c r="BE39" s="2"/>
      <c r="BF39" s="2"/>
      <c r="BG39" s="2"/>
      <c r="BH39" s="2"/>
      <c r="BI39" s="2"/>
      <c r="BJ39" s="2"/>
      <c r="BK39" s="2"/>
      <c r="BL39" s="2"/>
    </row>
    <row r="40" spans="1:64" ht="16.5" customHeight="1">
      <c r="A40" s="2"/>
      <c r="B40" s="8" t="s">
        <v>51</v>
      </c>
      <c r="C40" s="8">
        <f t="shared" ref="C40:D40" si="21">C37*$X$3</f>
        <v>0</v>
      </c>
      <c r="D40" s="8">
        <f t="shared" si="21"/>
        <v>0</v>
      </c>
      <c r="E40" s="67">
        <f>E37*$B$47</f>
        <v>247.5</v>
      </c>
      <c r="F40" s="67">
        <f t="shared" ref="F40:T40" si="22">F37*$X$3</f>
        <v>0</v>
      </c>
      <c r="G40" s="67">
        <f t="shared" si="22"/>
        <v>160</v>
      </c>
      <c r="H40" s="67">
        <f t="shared" si="22"/>
        <v>0</v>
      </c>
      <c r="I40" s="67">
        <f t="shared" si="22"/>
        <v>0</v>
      </c>
      <c r="J40" s="67">
        <f t="shared" si="22"/>
        <v>0</v>
      </c>
      <c r="K40" s="67">
        <f t="shared" si="22"/>
        <v>43.333333333333329</v>
      </c>
      <c r="L40" s="67">
        <f t="shared" si="22"/>
        <v>0</v>
      </c>
      <c r="M40" s="67">
        <f t="shared" si="22"/>
        <v>0</v>
      </c>
      <c r="N40" s="67">
        <f t="shared" si="22"/>
        <v>123.33333333333334</v>
      </c>
      <c r="O40" s="67">
        <f t="shared" si="22"/>
        <v>20</v>
      </c>
      <c r="P40" s="67">
        <f t="shared" si="22"/>
        <v>16.666666666666668</v>
      </c>
      <c r="Q40" s="67">
        <f t="shared" si="22"/>
        <v>16.666666666666668</v>
      </c>
      <c r="R40" s="67">
        <f t="shared" si="22"/>
        <v>0</v>
      </c>
      <c r="S40" s="67">
        <f t="shared" si="22"/>
        <v>20</v>
      </c>
      <c r="T40" s="67">
        <f t="shared" si="22"/>
        <v>10</v>
      </c>
      <c r="U40" s="77"/>
      <c r="V40" s="69">
        <f>V37*$X$3</f>
        <v>403.33333333333337</v>
      </c>
      <c r="W40" s="3"/>
      <c r="X40" s="13" t="s">
        <v>3</v>
      </c>
      <c r="Y40" s="63">
        <v>79000</v>
      </c>
      <c r="Z40" s="64">
        <v>0.19750000000000001</v>
      </c>
      <c r="AA40" s="65">
        <v>321000</v>
      </c>
      <c r="AB40" s="65">
        <v>0</v>
      </c>
      <c r="AC40" s="55"/>
      <c r="AD40" s="56"/>
      <c r="AE40" s="57" t="s">
        <v>37</v>
      </c>
      <c r="AF40" s="78">
        <f>AF38/AP38</f>
        <v>7.2716581732653857E-2</v>
      </c>
      <c r="AG40" s="78">
        <f t="shared" ref="AG40:AN40" si="23">AG38/$AP$38</f>
        <v>0.4593296746373971</v>
      </c>
      <c r="AH40" s="78">
        <f t="shared" si="23"/>
        <v>0</v>
      </c>
      <c r="AI40" s="78">
        <f t="shared" si="23"/>
        <v>0.36132889063112505</v>
      </c>
      <c r="AJ40" s="78">
        <f t="shared" si="23"/>
        <v>5.8702469619756961E-2</v>
      </c>
      <c r="AK40" s="78">
        <f t="shared" si="23"/>
        <v>8.8200705605644841E-4</v>
      </c>
      <c r="AL40" s="78">
        <f t="shared" si="23"/>
        <v>0</v>
      </c>
      <c r="AM40" s="78">
        <f t="shared" si="23"/>
        <v>4.7040376323010585E-2</v>
      </c>
      <c r="AN40" s="78">
        <f t="shared" si="23"/>
        <v>0</v>
      </c>
      <c r="AO40" s="57" t="e">
        <f>(AO34*#REF!)</f>
        <v>#DIV/0!</v>
      </c>
      <c r="AP40" s="79">
        <f>SUM(AF40:AN40)</f>
        <v>1</v>
      </c>
      <c r="AQ40" s="2"/>
      <c r="AR40" s="2"/>
      <c r="AS40" s="2"/>
      <c r="AT40" s="2"/>
      <c r="AU40" s="2"/>
      <c r="AV40" s="2"/>
      <c r="AW40" s="2"/>
      <c r="AX40" s="2"/>
      <c r="AY40" s="2"/>
      <c r="AZ40" s="2"/>
      <c r="BA40" s="2"/>
      <c r="BB40" s="2"/>
      <c r="BC40" s="2"/>
      <c r="BD40" s="2"/>
      <c r="BE40" s="2"/>
      <c r="BF40" s="2"/>
      <c r="BG40" s="2"/>
      <c r="BH40" s="2"/>
      <c r="BI40" s="2"/>
      <c r="BJ40" s="2"/>
      <c r="BK40" s="2"/>
      <c r="BL40" s="2"/>
    </row>
    <row r="41" spans="1:64" ht="16.5" customHeight="1">
      <c r="A41" s="2"/>
      <c r="B41" s="80" t="s">
        <v>52</v>
      </c>
      <c r="C41" s="81">
        <v>0</v>
      </c>
      <c r="D41" s="81">
        <v>0</v>
      </c>
      <c r="E41" s="81">
        <v>79000</v>
      </c>
      <c r="F41" s="81">
        <v>0</v>
      </c>
      <c r="G41" s="81">
        <v>194400</v>
      </c>
      <c r="H41" s="81">
        <v>0</v>
      </c>
      <c r="I41" s="81">
        <v>0</v>
      </c>
      <c r="J41" s="81">
        <v>0</v>
      </c>
      <c r="K41" s="81">
        <v>62200</v>
      </c>
      <c r="L41" s="81">
        <v>0</v>
      </c>
      <c r="M41" s="81">
        <v>0</v>
      </c>
      <c r="N41" s="81">
        <v>90000</v>
      </c>
      <c r="O41" s="81">
        <v>335000</v>
      </c>
      <c r="P41" s="81">
        <v>15100</v>
      </c>
      <c r="Q41" s="81">
        <v>171900</v>
      </c>
      <c r="R41" s="81">
        <v>0</v>
      </c>
      <c r="S41" s="81">
        <v>61500</v>
      </c>
      <c r="T41" s="81">
        <v>11300</v>
      </c>
      <c r="U41" s="81" t="s">
        <v>33</v>
      </c>
      <c r="V41" s="81">
        <f>SUM(C41:U41)</f>
        <v>1020400</v>
      </c>
      <c r="W41" s="3"/>
      <c r="X41" s="13" t="s">
        <v>9</v>
      </c>
      <c r="Y41" s="63">
        <v>62200</v>
      </c>
      <c r="Z41" s="64">
        <v>0.1555</v>
      </c>
      <c r="AA41" s="65">
        <v>337800</v>
      </c>
      <c r="AB41" s="65">
        <v>0</v>
      </c>
      <c r="AC41" s="55"/>
      <c r="AD41" s="56"/>
      <c r="AE41" s="57" t="s">
        <v>54</v>
      </c>
      <c r="AF41" s="70">
        <f t="shared" ref="AF41:AN41" si="24">AF39*$AR$3</f>
        <v>247333.33333333331</v>
      </c>
      <c r="AG41" s="70">
        <f t="shared" si="24"/>
        <v>1562333.3333333335</v>
      </c>
      <c r="AH41" s="70">
        <f t="shared" si="24"/>
        <v>0</v>
      </c>
      <c r="AI41" s="70">
        <f t="shared" si="24"/>
        <v>1229000</v>
      </c>
      <c r="AJ41" s="70">
        <f t="shared" si="24"/>
        <v>199666.66666666669</v>
      </c>
      <c r="AK41" s="70">
        <f t="shared" si="24"/>
        <v>3000</v>
      </c>
      <c r="AL41" s="70">
        <f t="shared" si="24"/>
        <v>0</v>
      </c>
      <c r="AM41" s="70">
        <f t="shared" si="24"/>
        <v>160000</v>
      </c>
      <c r="AN41" s="70">
        <f t="shared" si="24"/>
        <v>0</v>
      </c>
      <c r="AO41" s="82"/>
      <c r="AP41" s="70">
        <f>AP39*$AR$3</f>
        <v>3401333.333333333</v>
      </c>
      <c r="AQ41" s="2"/>
      <c r="AR41" s="2"/>
      <c r="AS41" s="2"/>
      <c r="AT41" s="2"/>
      <c r="AU41" s="2"/>
      <c r="AV41" s="2"/>
      <c r="AW41" s="2"/>
      <c r="AX41" s="2"/>
      <c r="AY41" s="2"/>
      <c r="AZ41" s="2"/>
      <c r="BA41" s="2"/>
      <c r="BB41" s="2"/>
      <c r="BC41" s="2"/>
      <c r="BD41" s="2"/>
      <c r="BE41" s="2"/>
      <c r="BF41" s="2"/>
      <c r="BG41" s="2"/>
      <c r="BH41" s="2"/>
      <c r="BI41" s="2"/>
      <c r="BJ41" s="2"/>
      <c r="BK41" s="2"/>
      <c r="BL41" s="2"/>
    </row>
    <row r="42" spans="1:64" ht="16.5" customHeight="1">
      <c r="A42" s="2"/>
      <c r="B42" s="8" t="s">
        <v>53</v>
      </c>
      <c r="C42" s="67">
        <f t="shared" ref="C42:D42" si="25">C41/$Y$3</f>
        <v>0</v>
      </c>
      <c r="D42" s="67">
        <f t="shared" si="25"/>
        <v>0</v>
      </c>
      <c r="E42" s="67">
        <f>E41/$B$49</f>
        <v>39500</v>
      </c>
      <c r="F42" s="67">
        <f t="shared" ref="F42:T42" si="26">F41/$Y$3</f>
        <v>0</v>
      </c>
      <c r="G42" s="67">
        <f t="shared" si="26"/>
        <v>32400</v>
      </c>
      <c r="H42" s="67">
        <f t="shared" si="26"/>
        <v>0</v>
      </c>
      <c r="I42" s="67">
        <f t="shared" si="26"/>
        <v>0</v>
      </c>
      <c r="J42" s="67">
        <f t="shared" si="26"/>
        <v>0</v>
      </c>
      <c r="K42" s="67">
        <f t="shared" si="26"/>
        <v>10366.666666666666</v>
      </c>
      <c r="L42" s="67">
        <f t="shared" si="26"/>
        <v>0</v>
      </c>
      <c r="M42" s="67">
        <f t="shared" si="26"/>
        <v>0</v>
      </c>
      <c r="N42" s="67">
        <f t="shared" si="26"/>
        <v>15000</v>
      </c>
      <c r="O42" s="67">
        <f t="shared" si="26"/>
        <v>55833.333333333336</v>
      </c>
      <c r="P42" s="67">
        <f t="shared" si="26"/>
        <v>2516.6666666666665</v>
      </c>
      <c r="Q42" s="67">
        <f t="shared" si="26"/>
        <v>28650</v>
      </c>
      <c r="R42" s="67">
        <f t="shared" si="26"/>
        <v>0</v>
      </c>
      <c r="S42" s="67">
        <f t="shared" si="26"/>
        <v>10250</v>
      </c>
      <c r="T42" s="67">
        <f t="shared" si="26"/>
        <v>1883.3333333333333</v>
      </c>
      <c r="U42" s="77"/>
      <c r="V42" s="67">
        <f>V41/$Y$3</f>
        <v>170066.66666666666</v>
      </c>
      <c r="W42" s="3"/>
      <c r="X42" s="13" t="s">
        <v>17</v>
      </c>
      <c r="Y42" s="63">
        <v>61500</v>
      </c>
      <c r="Z42" s="64">
        <v>0.15375</v>
      </c>
      <c r="AA42" s="65">
        <v>338500</v>
      </c>
      <c r="AB42" s="65">
        <v>0</v>
      </c>
      <c r="AC42" s="55"/>
      <c r="AD42" s="56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2"/>
      <c r="BC42" s="2"/>
      <c r="BD42" s="2"/>
      <c r="BE42" s="2"/>
      <c r="BF42" s="2"/>
      <c r="BG42" s="2"/>
      <c r="BH42" s="2"/>
      <c r="BI42" s="2"/>
      <c r="BJ42" s="2"/>
      <c r="BK42" s="2"/>
      <c r="BL42" s="2"/>
    </row>
    <row r="43" spans="1:64" ht="16.5" customHeight="1">
      <c r="A43" s="2"/>
      <c r="B43" s="8" t="s">
        <v>37</v>
      </c>
      <c r="C43" s="83">
        <f t="shared" ref="C43:T43" si="27">C41/$V$41</f>
        <v>0</v>
      </c>
      <c r="D43" s="83">
        <f t="shared" si="27"/>
        <v>0</v>
      </c>
      <c r="E43" s="83">
        <f t="shared" si="27"/>
        <v>7.7420619364954923E-2</v>
      </c>
      <c r="F43" s="83">
        <f t="shared" si="27"/>
        <v>0</v>
      </c>
      <c r="G43" s="83">
        <f t="shared" si="27"/>
        <v>0.19051352410819286</v>
      </c>
      <c r="H43" s="83">
        <f t="shared" si="27"/>
        <v>0</v>
      </c>
      <c r="I43" s="83">
        <f t="shared" si="27"/>
        <v>0</v>
      </c>
      <c r="J43" s="83">
        <f t="shared" si="27"/>
        <v>0</v>
      </c>
      <c r="K43" s="83">
        <f t="shared" si="27"/>
        <v>6.0956487651901217E-2</v>
      </c>
      <c r="L43" s="83">
        <f t="shared" si="27"/>
        <v>0</v>
      </c>
      <c r="M43" s="83">
        <f t="shared" si="27"/>
        <v>0</v>
      </c>
      <c r="N43" s="83">
        <f t="shared" si="27"/>
        <v>8.8200705605644844E-2</v>
      </c>
      <c r="O43" s="83">
        <f t="shared" si="27"/>
        <v>0.32830262642101138</v>
      </c>
      <c r="P43" s="83">
        <f t="shared" si="27"/>
        <v>1.479811838494708E-2</v>
      </c>
      <c r="Q43" s="83">
        <f t="shared" si="27"/>
        <v>0.16846334770678165</v>
      </c>
      <c r="R43" s="83">
        <f t="shared" si="27"/>
        <v>0</v>
      </c>
      <c r="S43" s="83">
        <f t="shared" si="27"/>
        <v>6.027048216385731E-2</v>
      </c>
      <c r="T43" s="83">
        <f t="shared" si="27"/>
        <v>1.1074088592708742E-2</v>
      </c>
      <c r="U43" s="84"/>
      <c r="V43" s="83">
        <f>SUM(C43:T43)</f>
        <v>1</v>
      </c>
      <c r="W43" s="3"/>
      <c r="X43" s="13" t="s">
        <v>14</v>
      </c>
      <c r="Y43" s="63">
        <v>15100</v>
      </c>
      <c r="Z43" s="64">
        <v>3.7749999999999999E-2</v>
      </c>
      <c r="AA43" s="65">
        <v>384900</v>
      </c>
      <c r="AB43" s="65">
        <v>0</v>
      </c>
      <c r="AC43" s="55"/>
      <c r="AD43" s="56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2"/>
      <c r="AR43" s="2"/>
      <c r="AS43" s="2"/>
      <c r="AT43" s="2"/>
      <c r="AU43" s="2"/>
      <c r="AV43" s="2"/>
      <c r="AW43" s="2"/>
      <c r="AX43" s="2"/>
      <c r="AY43" s="2"/>
      <c r="AZ43" s="2"/>
      <c r="BA43" s="2"/>
      <c r="BB43" s="2"/>
      <c r="BC43" s="2"/>
      <c r="BD43" s="2"/>
      <c r="BE43" s="2"/>
      <c r="BF43" s="2"/>
      <c r="BG43" s="2"/>
      <c r="BH43" s="2"/>
      <c r="BI43" s="2"/>
      <c r="BJ43" s="2"/>
      <c r="BK43" s="2"/>
      <c r="BL43" s="2"/>
    </row>
    <row r="44" spans="1:64" ht="16.5" customHeight="1">
      <c r="A44" s="2"/>
      <c r="B44" s="8" t="s">
        <v>54</v>
      </c>
      <c r="C44" s="67">
        <f t="shared" ref="C44:D44" si="28">C42*$X$3</f>
        <v>0</v>
      </c>
      <c r="D44" s="67">
        <f t="shared" si="28"/>
        <v>0</v>
      </c>
      <c r="E44" s="67">
        <f>E42*$B$47</f>
        <v>592500</v>
      </c>
      <c r="F44" s="67">
        <f t="shared" ref="F44:T44" si="29">F42*$X$3</f>
        <v>0</v>
      </c>
      <c r="G44" s="67">
        <f t="shared" si="29"/>
        <v>648000</v>
      </c>
      <c r="H44" s="67">
        <f t="shared" si="29"/>
        <v>0</v>
      </c>
      <c r="I44" s="67">
        <f t="shared" si="29"/>
        <v>0</v>
      </c>
      <c r="J44" s="67">
        <f t="shared" si="29"/>
        <v>0</v>
      </c>
      <c r="K44" s="67">
        <f t="shared" si="29"/>
        <v>207333.33333333331</v>
      </c>
      <c r="L44" s="67">
        <f t="shared" si="29"/>
        <v>0</v>
      </c>
      <c r="M44" s="67">
        <f t="shared" si="29"/>
        <v>0</v>
      </c>
      <c r="N44" s="67">
        <f t="shared" si="29"/>
        <v>300000</v>
      </c>
      <c r="O44" s="67">
        <f t="shared" si="29"/>
        <v>1116666.6666666667</v>
      </c>
      <c r="P44" s="67">
        <f t="shared" si="29"/>
        <v>50333.333333333328</v>
      </c>
      <c r="Q44" s="67">
        <f t="shared" si="29"/>
        <v>573000</v>
      </c>
      <c r="R44" s="67">
        <f t="shared" si="29"/>
        <v>0</v>
      </c>
      <c r="S44" s="67">
        <f t="shared" si="29"/>
        <v>205000</v>
      </c>
      <c r="T44" s="67">
        <f t="shared" si="29"/>
        <v>37666.666666666664</v>
      </c>
      <c r="U44" s="85"/>
      <c r="V44" s="67">
        <f>V42*$X$3</f>
        <v>3401333.333333333</v>
      </c>
      <c r="W44" s="3"/>
      <c r="X44" s="13" t="s">
        <v>18</v>
      </c>
      <c r="Y44" s="63">
        <v>11300</v>
      </c>
      <c r="Z44" s="64">
        <v>2.8250000000000001E-2</v>
      </c>
      <c r="AA44" s="65">
        <v>388700</v>
      </c>
      <c r="AB44" s="65">
        <v>0</v>
      </c>
      <c r="AC44" s="55"/>
      <c r="AD44" s="56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2"/>
      <c r="AR44" s="2"/>
      <c r="AS44" s="2"/>
      <c r="AT44" s="2"/>
      <c r="AU44" s="2"/>
      <c r="AV44" s="2"/>
      <c r="AW44" s="2"/>
      <c r="AX44" s="2"/>
      <c r="AY44" s="2"/>
      <c r="AZ44" s="2"/>
      <c r="BA44" s="2"/>
      <c r="BB44" s="2"/>
      <c r="BC44" s="2"/>
      <c r="BD44" s="2"/>
      <c r="BE44" s="2"/>
      <c r="BF44" s="2"/>
      <c r="BG44" s="2"/>
      <c r="BH44" s="2"/>
      <c r="BI44" s="2"/>
      <c r="BJ44" s="2"/>
      <c r="BK44" s="2"/>
      <c r="BL44" s="2"/>
    </row>
    <row r="45" spans="1:64" ht="15.75" customHeight="1">
      <c r="A45" s="2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86"/>
      <c r="W45" s="7"/>
      <c r="X45" s="1"/>
      <c r="Y45" s="1"/>
      <c r="Z45" s="1"/>
      <c r="AA45" s="1"/>
      <c r="AB45" s="1"/>
      <c r="AC45" s="55"/>
      <c r="AD45" s="56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2"/>
      <c r="AR45" s="2"/>
      <c r="AS45" s="2"/>
      <c r="AT45" s="2"/>
      <c r="AU45" s="2"/>
      <c r="AV45" s="2"/>
      <c r="AW45" s="2"/>
      <c r="AX45" s="2"/>
      <c r="AY45" s="2"/>
      <c r="AZ45" s="2"/>
      <c r="BA45" s="2"/>
      <c r="BB45" s="2"/>
      <c r="BC45" s="2"/>
      <c r="BD45" s="2"/>
      <c r="BE45" s="2"/>
      <c r="BF45" s="2"/>
      <c r="BG45" s="2"/>
      <c r="BH45" s="2"/>
      <c r="BI45" s="2"/>
      <c r="BJ45" s="2"/>
      <c r="BK45" s="2"/>
      <c r="BL45" s="2"/>
    </row>
    <row r="46" spans="1:64" ht="15.75" customHeight="1">
      <c r="A46" s="2"/>
      <c r="B46" s="87" t="s">
        <v>55</v>
      </c>
      <c r="C46" s="1"/>
      <c r="D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3"/>
      <c r="X46" s="55"/>
      <c r="Y46" s="55"/>
      <c r="Z46" s="55"/>
      <c r="AA46" s="1"/>
      <c r="AB46" s="1"/>
      <c r="AC46" s="1"/>
      <c r="AD46" s="4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2"/>
      <c r="AR46" s="2"/>
      <c r="AS46" s="2"/>
      <c r="AT46" s="2"/>
      <c r="AU46" s="2"/>
      <c r="AV46" s="2"/>
      <c r="AW46" s="2"/>
      <c r="AX46" s="2"/>
      <c r="AY46" s="2"/>
      <c r="AZ46" s="2"/>
      <c r="BA46" s="2"/>
      <c r="BB46" s="2"/>
      <c r="BC46" s="2"/>
      <c r="BD46" s="2"/>
      <c r="BE46" s="2"/>
      <c r="BF46" s="2"/>
      <c r="BG46" s="2"/>
      <c r="BH46" s="2"/>
      <c r="BI46" s="2"/>
      <c r="BJ46" s="2"/>
      <c r="BK46" s="2"/>
      <c r="BL46" s="2"/>
    </row>
    <row r="47" spans="1:64" ht="15.75" customHeight="1">
      <c r="A47" s="2"/>
      <c r="B47" s="88">
        <v>15</v>
      </c>
      <c r="C47" s="1"/>
      <c r="D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3"/>
      <c r="X47" s="55"/>
      <c r="Y47" s="55"/>
      <c r="Z47" s="55"/>
      <c r="AA47" s="1"/>
      <c r="AB47" s="1"/>
      <c r="AC47" s="1"/>
      <c r="AD47" s="4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2"/>
      <c r="AR47" s="2"/>
      <c r="AS47" s="2"/>
      <c r="AT47" s="2"/>
      <c r="AU47" s="2"/>
      <c r="AV47" s="2"/>
      <c r="AW47" s="2"/>
      <c r="AX47" s="2"/>
      <c r="AY47" s="2"/>
      <c r="AZ47" s="2"/>
      <c r="BA47" s="2"/>
      <c r="BB47" s="2"/>
      <c r="BC47" s="2"/>
      <c r="BD47" s="2"/>
      <c r="BE47" s="2"/>
      <c r="BF47" s="2"/>
      <c r="BG47" s="2"/>
      <c r="BH47" s="2"/>
      <c r="BI47" s="2"/>
      <c r="BJ47" s="2"/>
      <c r="BK47" s="2"/>
      <c r="BL47" s="2"/>
    </row>
    <row r="48" spans="1:64" ht="15.75" customHeight="1">
      <c r="A48" s="1"/>
      <c r="B48" s="87" t="s">
        <v>56</v>
      </c>
      <c r="C48" s="1"/>
      <c r="D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3"/>
      <c r="X48" s="1"/>
      <c r="Y48" s="1"/>
      <c r="Z48" s="1"/>
      <c r="AA48" s="1"/>
      <c r="AB48" s="1"/>
      <c r="AC48" s="1"/>
      <c r="AD48" s="4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2"/>
      <c r="AR48" s="2"/>
      <c r="AS48" s="2"/>
      <c r="AT48" s="2"/>
      <c r="AU48" s="2"/>
      <c r="AV48" s="2"/>
      <c r="AW48" s="2"/>
      <c r="AX48" s="2"/>
      <c r="AY48" s="2"/>
      <c r="AZ48" s="2"/>
      <c r="BA48" s="2"/>
      <c r="BB48" s="2"/>
      <c r="BC48" s="2"/>
      <c r="BD48" s="2"/>
      <c r="BE48" s="2"/>
      <c r="BF48" s="2"/>
      <c r="BG48" s="2"/>
      <c r="BH48" s="2"/>
      <c r="BI48" s="2"/>
      <c r="BJ48" s="2"/>
      <c r="BK48" s="2"/>
      <c r="BL48" s="2"/>
    </row>
    <row r="49" spans="1:64" ht="15.75" customHeight="1">
      <c r="A49" s="1"/>
      <c r="B49" s="88">
        <v>2</v>
      </c>
      <c r="C49" s="1"/>
      <c r="D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3"/>
      <c r="X49" s="1"/>
      <c r="Y49" s="1"/>
      <c r="Z49" s="1"/>
      <c r="AA49" s="1"/>
      <c r="AB49" s="1"/>
      <c r="AC49" s="1"/>
      <c r="AD49" s="4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</row>
    <row r="50" spans="1:64" ht="15.75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3"/>
      <c r="X50" s="1"/>
      <c r="Y50" s="1"/>
      <c r="Z50" s="1"/>
      <c r="AA50" s="1"/>
      <c r="AB50" s="1"/>
      <c r="AC50" s="1"/>
      <c r="AD50" s="4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2"/>
      <c r="AR50" s="2"/>
      <c r="AS50" s="2"/>
      <c r="AT50" s="2"/>
      <c r="AU50" s="2"/>
      <c r="AV50" s="2"/>
      <c r="AW50" s="2"/>
      <c r="AX50" s="2"/>
      <c r="AY50" s="2"/>
      <c r="AZ50" s="2"/>
      <c r="BA50" s="2"/>
      <c r="BB50" s="2"/>
      <c r="BC50" s="2"/>
      <c r="BD50" s="2"/>
      <c r="BE50" s="2"/>
      <c r="BF50" s="2"/>
      <c r="BG50" s="2"/>
      <c r="BH50" s="2"/>
      <c r="BI50" s="2"/>
      <c r="BJ50" s="2"/>
      <c r="BK50" s="2"/>
      <c r="BL50" s="2"/>
    </row>
    <row r="51" spans="1:64" ht="15.75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3"/>
      <c r="X51" s="1"/>
      <c r="Y51" s="1"/>
      <c r="Z51" s="1"/>
      <c r="AA51" s="1"/>
      <c r="AB51" s="1"/>
      <c r="AC51" s="1"/>
      <c r="AD51" s="4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2"/>
      <c r="AR51" s="2"/>
      <c r="AS51" s="2"/>
      <c r="AT51" s="2"/>
      <c r="AU51" s="2"/>
      <c r="AV51" s="2"/>
      <c r="AW51" s="2"/>
      <c r="AX51" s="2"/>
      <c r="AY51" s="2"/>
      <c r="AZ51" s="2"/>
      <c r="BA51" s="2"/>
      <c r="BB51" s="2"/>
      <c r="BC51" s="2"/>
      <c r="BD51" s="2"/>
      <c r="BE51" s="2"/>
      <c r="BF51" s="2"/>
      <c r="BG51" s="2"/>
      <c r="BH51" s="2"/>
      <c r="BI51" s="2"/>
      <c r="BJ51" s="2"/>
      <c r="BK51" s="2"/>
      <c r="BL51" s="2"/>
    </row>
    <row r="52" spans="1:64" ht="15.75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3"/>
      <c r="X52" s="1"/>
      <c r="Y52" s="1"/>
      <c r="Z52" s="1"/>
      <c r="AA52" s="1"/>
      <c r="AB52" s="1"/>
      <c r="AC52" s="1"/>
      <c r="AD52" s="4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2"/>
      <c r="AR52" s="2"/>
      <c r="AS52" s="2"/>
      <c r="AT52" s="2"/>
      <c r="AU52" s="2"/>
      <c r="AV52" s="2"/>
      <c r="AW52" s="2"/>
      <c r="AX52" s="2"/>
      <c r="AY52" s="2"/>
      <c r="AZ52" s="2"/>
      <c r="BA52" s="2"/>
      <c r="BB52" s="2"/>
      <c r="BC52" s="2"/>
      <c r="BD52" s="2"/>
      <c r="BE52" s="2"/>
      <c r="BF52" s="2"/>
      <c r="BG52" s="2"/>
      <c r="BH52" s="2"/>
      <c r="BI52" s="2"/>
      <c r="BJ52" s="2"/>
      <c r="BK52" s="2"/>
      <c r="BL52" s="2"/>
    </row>
    <row r="53" spans="1:64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3"/>
      <c r="X53" s="1"/>
      <c r="Y53" s="1"/>
      <c r="Z53" s="1"/>
      <c r="AA53" s="1"/>
      <c r="AB53" s="1"/>
      <c r="AC53" s="1"/>
      <c r="AD53" s="4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2"/>
      <c r="AR53" s="2"/>
      <c r="AS53" s="2"/>
      <c r="AT53" s="2"/>
      <c r="AU53" s="2"/>
      <c r="AV53" s="2"/>
      <c r="AW53" s="2"/>
      <c r="AX53" s="2"/>
      <c r="AY53" s="2"/>
      <c r="AZ53" s="2"/>
      <c r="BA53" s="2"/>
      <c r="BB53" s="2"/>
      <c r="BC53" s="2"/>
      <c r="BD53" s="2"/>
      <c r="BE53" s="2"/>
      <c r="BF53" s="2"/>
      <c r="BG53" s="2"/>
      <c r="BH53" s="2"/>
      <c r="BI53" s="2"/>
      <c r="BJ53" s="2"/>
      <c r="BK53" s="2"/>
      <c r="BL53" s="2"/>
    </row>
    <row r="54" spans="1:64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3"/>
      <c r="X54" s="1"/>
      <c r="Y54" s="1"/>
      <c r="Z54" s="1"/>
      <c r="AA54" s="1"/>
      <c r="AB54" s="1"/>
      <c r="AC54" s="1"/>
      <c r="AD54" s="4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2"/>
      <c r="AR54" s="2"/>
      <c r="AS54" s="2"/>
      <c r="AT54" s="2"/>
      <c r="AU54" s="2"/>
      <c r="AV54" s="2"/>
      <c r="AW54" s="2"/>
      <c r="AX54" s="2"/>
      <c r="AY54" s="2"/>
      <c r="AZ54" s="2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</row>
    <row r="55" spans="1:64" ht="15.75" customHeight="1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3"/>
      <c r="X55" s="1"/>
      <c r="Y55" s="1"/>
      <c r="Z55" s="1"/>
      <c r="AA55" s="1"/>
      <c r="AB55" s="1"/>
      <c r="AC55" s="1"/>
      <c r="AD55" s="4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2"/>
      <c r="AR55" s="2"/>
      <c r="AS55" s="2"/>
      <c r="AT55" s="2"/>
      <c r="AU55" s="2"/>
      <c r="AV55" s="2"/>
      <c r="AW55" s="2"/>
      <c r="AX55" s="2"/>
      <c r="AY55" s="2"/>
      <c r="AZ55" s="2"/>
      <c r="BA55" s="2"/>
      <c r="BB55" s="2"/>
      <c r="BC55" s="2"/>
      <c r="BD55" s="2"/>
      <c r="BE55" s="2"/>
      <c r="BF55" s="2"/>
      <c r="BG55" s="2"/>
      <c r="BH55" s="2"/>
      <c r="BI55" s="2"/>
      <c r="BJ55" s="2"/>
      <c r="BK55" s="2"/>
      <c r="BL55" s="2"/>
    </row>
    <row r="56" spans="1:64" ht="15.75" customHeight="1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3"/>
      <c r="X56" s="1"/>
      <c r="Y56" s="1"/>
      <c r="Z56" s="1"/>
      <c r="AA56" s="1"/>
      <c r="AB56" s="1"/>
      <c r="AC56" s="1"/>
      <c r="AD56" s="4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2"/>
      <c r="AR56" s="2"/>
      <c r="AS56" s="2"/>
      <c r="AT56" s="2"/>
      <c r="AU56" s="2"/>
      <c r="AV56" s="2"/>
      <c r="AW56" s="2"/>
      <c r="AX56" s="2"/>
      <c r="AY56" s="2"/>
      <c r="AZ56" s="2"/>
      <c r="BA56" s="2"/>
      <c r="BB56" s="2"/>
      <c r="BC56" s="2"/>
      <c r="BD56" s="2"/>
      <c r="BE56" s="2"/>
      <c r="BF56" s="2"/>
      <c r="BG56" s="2"/>
      <c r="BH56" s="2"/>
      <c r="BI56" s="2"/>
      <c r="BJ56" s="2"/>
      <c r="BK56" s="2"/>
      <c r="BL56" s="2"/>
    </row>
    <row r="57" spans="1:64" ht="15.75" customHeight="1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3"/>
      <c r="X57" s="1"/>
      <c r="Y57" s="1"/>
      <c r="Z57" s="1"/>
      <c r="AA57" s="1"/>
      <c r="AB57" s="1"/>
      <c r="AC57" s="1"/>
      <c r="AD57" s="4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2"/>
      <c r="AR57" s="2"/>
      <c r="AS57" s="2"/>
      <c r="AT57" s="2"/>
      <c r="AU57" s="2"/>
      <c r="AV57" s="2"/>
      <c r="AW57" s="2"/>
      <c r="AX57" s="2"/>
      <c r="AY57" s="2"/>
      <c r="AZ57" s="2"/>
      <c r="BA57" s="2"/>
      <c r="BB57" s="2"/>
      <c r="BC57" s="2"/>
      <c r="BD57" s="2"/>
      <c r="BE57" s="2"/>
      <c r="BF57" s="2"/>
      <c r="BG57" s="2"/>
      <c r="BH57" s="2"/>
      <c r="BI57" s="2"/>
      <c r="BJ57" s="2"/>
      <c r="BK57" s="2"/>
      <c r="BL57" s="2"/>
    </row>
    <row r="58" spans="1:64" ht="15.75" customHeight="1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3"/>
      <c r="X58" s="1"/>
      <c r="Y58" s="1"/>
      <c r="Z58" s="1"/>
      <c r="AA58" s="1"/>
      <c r="AB58" s="1"/>
      <c r="AC58" s="1"/>
      <c r="AD58" s="4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2"/>
      <c r="AR58" s="2"/>
      <c r="AS58" s="2"/>
      <c r="AT58" s="2"/>
      <c r="AU58" s="2"/>
      <c r="AV58" s="2"/>
      <c r="AW58" s="2"/>
      <c r="AX58" s="2"/>
      <c r="AY58" s="2"/>
      <c r="AZ58" s="2"/>
      <c r="BA58" s="2"/>
      <c r="BB58" s="2"/>
      <c r="BC58" s="2"/>
      <c r="BD58" s="2"/>
      <c r="BE58" s="2"/>
      <c r="BF58" s="2"/>
      <c r="BG58" s="2"/>
      <c r="BH58" s="2"/>
      <c r="BI58" s="2"/>
      <c r="BJ58" s="2"/>
      <c r="BK58" s="2"/>
      <c r="BL58" s="2"/>
    </row>
    <row r="59" spans="1:64" ht="15.75" customHeight="1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3"/>
      <c r="X59" s="1"/>
      <c r="Y59" s="1"/>
      <c r="Z59" s="1"/>
      <c r="AA59" s="1"/>
      <c r="AB59" s="1"/>
      <c r="AC59" s="1"/>
      <c r="AD59" s="4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2"/>
      <c r="AR59" s="2"/>
      <c r="AS59" s="2"/>
      <c r="AT59" s="2"/>
      <c r="AU59" s="2"/>
      <c r="AV59" s="2"/>
      <c r="AW59" s="2"/>
      <c r="AX59" s="2"/>
      <c r="AY59" s="2"/>
      <c r="AZ59" s="2"/>
      <c r="BA59" s="2"/>
      <c r="BB59" s="2"/>
      <c r="BC59" s="2"/>
      <c r="BD59" s="2"/>
      <c r="BE59" s="2"/>
      <c r="BF59" s="2"/>
      <c r="BG59" s="2"/>
      <c r="BH59" s="2"/>
      <c r="BI59" s="2"/>
      <c r="BJ59" s="2"/>
      <c r="BK59" s="2"/>
      <c r="BL59" s="2"/>
    </row>
    <row r="60" spans="1:64" ht="15.75" customHeight="1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3"/>
      <c r="X60" s="1"/>
      <c r="Y60" s="1"/>
      <c r="Z60" s="1"/>
      <c r="AA60" s="1"/>
      <c r="AB60" s="1"/>
      <c r="AC60" s="1"/>
      <c r="AD60" s="4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2"/>
      <c r="AR60" s="2"/>
      <c r="AS60" s="2"/>
      <c r="AT60" s="2"/>
      <c r="AU60" s="2"/>
      <c r="AV60" s="2"/>
      <c r="AW60" s="2"/>
      <c r="AX60" s="2"/>
      <c r="AY60" s="2"/>
      <c r="AZ60" s="2"/>
      <c r="BA60" s="2"/>
      <c r="BB60" s="2"/>
      <c r="BC60" s="2"/>
      <c r="BD60" s="2"/>
      <c r="BE60" s="2"/>
      <c r="BF60" s="2"/>
      <c r="BG60" s="2"/>
      <c r="BH60" s="2"/>
      <c r="BI60" s="2"/>
      <c r="BJ60" s="2"/>
      <c r="BK60" s="2"/>
      <c r="BL60" s="2"/>
    </row>
    <row r="61" spans="1:64" ht="15.75" customHeight="1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3"/>
      <c r="X61" s="1"/>
      <c r="Y61" s="1"/>
      <c r="Z61" s="1"/>
      <c r="AA61" s="1"/>
      <c r="AB61" s="1"/>
      <c r="AC61" s="1"/>
      <c r="AD61" s="4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2"/>
      <c r="AR61" s="2"/>
      <c r="AS61" s="2"/>
      <c r="AT61" s="2"/>
      <c r="AU61" s="2"/>
      <c r="AV61" s="2"/>
      <c r="AW61" s="2"/>
      <c r="AX61" s="2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</row>
    <row r="62" spans="1:64" ht="15.75" customHeight="1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3"/>
      <c r="X62" s="1"/>
      <c r="Y62" s="1"/>
      <c r="Z62" s="1"/>
      <c r="AA62" s="1"/>
      <c r="AB62" s="1"/>
      <c r="AC62" s="1"/>
      <c r="AD62" s="4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2"/>
      <c r="AR62" s="2"/>
      <c r="AS62" s="2"/>
      <c r="AT62" s="2"/>
      <c r="AU62" s="2"/>
      <c r="AV62" s="2"/>
      <c r="AW62" s="2"/>
      <c r="AX62" s="2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</row>
    <row r="63" spans="1:64" ht="15.75" customHeight="1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3"/>
      <c r="X63" s="1"/>
      <c r="Y63" s="1"/>
      <c r="Z63" s="1"/>
      <c r="AA63" s="1"/>
      <c r="AB63" s="1"/>
      <c r="AC63" s="1"/>
      <c r="AD63" s="4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2"/>
      <c r="AR63" s="2"/>
      <c r="AS63" s="2"/>
      <c r="AT63" s="2"/>
      <c r="AU63" s="2"/>
      <c r="AV63" s="2"/>
      <c r="AW63" s="2"/>
      <c r="AX63" s="2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</row>
    <row r="64" spans="1:64" ht="15.75" customHeight="1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3"/>
      <c r="X64" s="1"/>
      <c r="Y64" s="1"/>
      <c r="Z64" s="1"/>
      <c r="AA64" s="1"/>
      <c r="AB64" s="1"/>
      <c r="AC64" s="1"/>
      <c r="AD64" s="4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2"/>
      <c r="AR64" s="2"/>
      <c r="AS64" s="2"/>
      <c r="AT64" s="2"/>
      <c r="AU64" s="2"/>
      <c r="AV64" s="2"/>
      <c r="AW64" s="2"/>
      <c r="AX64" s="2"/>
      <c r="AY64" s="2"/>
      <c r="AZ64" s="2"/>
      <c r="BA64" s="2"/>
      <c r="BB64" s="2"/>
      <c r="BC64" s="2"/>
      <c r="BD64" s="2"/>
      <c r="BE64" s="2"/>
      <c r="BF64" s="2"/>
      <c r="BG64" s="2"/>
      <c r="BH64" s="2"/>
      <c r="BI64" s="2"/>
      <c r="BJ64" s="2"/>
      <c r="BK64" s="2"/>
      <c r="BL64" s="2"/>
    </row>
    <row r="65" spans="1:64" ht="15.75" customHeight="1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3"/>
      <c r="X65" s="1"/>
      <c r="Y65" s="1"/>
      <c r="Z65" s="1"/>
      <c r="AA65" s="1"/>
      <c r="AB65" s="1"/>
      <c r="AC65" s="1"/>
      <c r="AD65" s="4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2"/>
      <c r="AR65" s="2"/>
      <c r="AS65" s="2"/>
      <c r="AT65" s="2"/>
      <c r="AU65" s="2"/>
      <c r="AV65" s="2"/>
      <c r="AW65" s="2"/>
      <c r="AX65" s="2"/>
      <c r="AY65" s="2"/>
      <c r="AZ65" s="2"/>
      <c r="BA65" s="2"/>
      <c r="BB65" s="2"/>
      <c r="BC65" s="2"/>
      <c r="BD65" s="2"/>
      <c r="BE65" s="2"/>
      <c r="BF65" s="2"/>
      <c r="BG65" s="2"/>
      <c r="BH65" s="2"/>
      <c r="BI65" s="2"/>
      <c r="BJ65" s="2"/>
      <c r="BK65" s="2"/>
      <c r="BL65" s="2"/>
    </row>
    <row r="66" spans="1:64" ht="15.75" customHeight="1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3"/>
      <c r="X66" s="1"/>
      <c r="Y66" s="1"/>
      <c r="Z66" s="1"/>
      <c r="AA66" s="1"/>
      <c r="AB66" s="1"/>
      <c r="AC66" s="1"/>
      <c r="AD66" s="4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2"/>
      <c r="AR66" s="2"/>
      <c r="AS66" s="2"/>
      <c r="AT66" s="2"/>
      <c r="AU66" s="2"/>
      <c r="AV66" s="2"/>
      <c r="AW66" s="2"/>
      <c r="AX66" s="2"/>
      <c r="AY66" s="2"/>
      <c r="AZ66" s="2"/>
      <c r="BA66" s="2"/>
      <c r="BB66" s="2"/>
      <c r="BC66" s="2"/>
      <c r="BD66" s="2"/>
      <c r="BE66" s="2"/>
      <c r="BF66" s="2"/>
      <c r="BG66" s="2"/>
      <c r="BH66" s="2"/>
      <c r="BI66" s="2"/>
      <c r="BJ66" s="2"/>
      <c r="BK66" s="2"/>
      <c r="BL66" s="2"/>
    </row>
    <row r="67" spans="1:64" ht="15.75" customHeight="1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3"/>
      <c r="X67" s="1"/>
      <c r="Y67" s="1"/>
      <c r="Z67" s="1"/>
      <c r="AA67" s="1"/>
      <c r="AB67" s="1"/>
      <c r="AC67" s="1"/>
      <c r="AD67" s="4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2"/>
      <c r="AR67" s="2"/>
      <c r="AS67" s="2"/>
      <c r="AT67" s="2"/>
      <c r="AU67" s="2"/>
      <c r="AV67" s="2"/>
      <c r="AW67" s="2"/>
      <c r="AX67" s="2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</row>
    <row r="68" spans="1:64" ht="15.75" customHeight="1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3"/>
      <c r="X68" s="1"/>
      <c r="Y68" s="1"/>
      <c r="Z68" s="1"/>
      <c r="AA68" s="1"/>
      <c r="AB68" s="1"/>
      <c r="AC68" s="1"/>
      <c r="AD68" s="4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2"/>
      <c r="AR68" s="2"/>
      <c r="AS68" s="2"/>
      <c r="AT68" s="2"/>
      <c r="AU68" s="2"/>
      <c r="AV68" s="2"/>
      <c r="AW68" s="2"/>
      <c r="AX68" s="2"/>
      <c r="AY68" s="2"/>
      <c r="AZ68" s="2"/>
      <c r="BA68" s="2"/>
      <c r="BB68" s="2"/>
      <c r="BC68" s="2"/>
      <c r="BD68" s="2"/>
      <c r="BE68" s="2"/>
      <c r="BF68" s="2"/>
      <c r="BG68" s="2"/>
      <c r="BH68" s="2"/>
      <c r="BI68" s="2"/>
      <c r="BJ68" s="2"/>
      <c r="BK68" s="2"/>
      <c r="BL68" s="2"/>
    </row>
    <row r="69" spans="1:64" ht="15.75" customHeight="1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3"/>
      <c r="X69" s="1"/>
      <c r="Y69" s="1"/>
      <c r="Z69" s="1"/>
      <c r="AA69" s="1"/>
      <c r="AB69" s="1"/>
      <c r="AC69" s="1"/>
      <c r="AD69" s="4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2"/>
      <c r="AR69" s="2"/>
      <c r="AS69" s="2"/>
      <c r="AT69" s="2"/>
      <c r="AU69" s="2"/>
      <c r="AV69" s="2"/>
      <c r="AW69" s="2"/>
      <c r="AX69" s="2"/>
      <c r="AY69" s="2"/>
      <c r="AZ69" s="2"/>
      <c r="BA69" s="2"/>
      <c r="BB69" s="2"/>
      <c r="BC69" s="2"/>
      <c r="BD69" s="2"/>
      <c r="BE69" s="2"/>
      <c r="BF69" s="2"/>
      <c r="BG69" s="2"/>
      <c r="BH69" s="2"/>
      <c r="BI69" s="2"/>
      <c r="BJ69" s="2"/>
      <c r="BK69" s="2"/>
      <c r="BL69" s="2"/>
    </row>
    <row r="70" spans="1:64" ht="15.75" customHeight="1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3"/>
      <c r="X70" s="1"/>
      <c r="Y70" s="1"/>
      <c r="Z70" s="1"/>
      <c r="AA70" s="1"/>
      <c r="AB70" s="1"/>
      <c r="AC70" s="1"/>
      <c r="AD70" s="4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2"/>
      <c r="AR70" s="2"/>
      <c r="AS70" s="2"/>
      <c r="AT70" s="2"/>
      <c r="AU70" s="2"/>
      <c r="AV70" s="2"/>
      <c r="AW70" s="2"/>
      <c r="AX70" s="2"/>
      <c r="AY70" s="2"/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</row>
    <row r="71" spans="1:64" ht="15.75" customHeight="1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3"/>
      <c r="X71" s="1"/>
      <c r="Y71" s="1"/>
      <c r="Z71" s="1"/>
      <c r="AA71" s="1"/>
      <c r="AB71" s="1"/>
      <c r="AC71" s="1"/>
      <c r="AD71" s="4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2"/>
      <c r="AR71" s="2"/>
      <c r="AS71" s="2"/>
      <c r="AT71" s="2"/>
      <c r="AU71" s="2"/>
      <c r="AV71" s="2"/>
      <c r="AW71" s="2"/>
      <c r="AX71" s="2"/>
      <c r="AY71" s="2"/>
      <c r="AZ71" s="2"/>
      <c r="BA71" s="2"/>
      <c r="BB71" s="2"/>
      <c r="BC71" s="2"/>
      <c r="BD71" s="2"/>
      <c r="BE71" s="2"/>
      <c r="BF71" s="2"/>
      <c r="BG71" s="2"/>
      <c r="BH71" s="2"/>
      <c r="BI71" s="2"/>
      <c r="BJ71" s="2"/>
      <c r="BK71" s="2"/>
      <c r="BL71" s="2"/>
    </row>
    <row r="72" spans="1:64" ht="15.75" customHeight="1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3"/>
      <c r="X72" s="1"/>
      <c r="Y72" s="1"/>
      <c r="Z72" s="1"/>
      <c r="AA72" s="1"/>
      <c r="AB72" s="1"/>
      <c r="AC72" s="1"/>
      <c r="AD72" s="4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2"/>
      <c r="AR72" s="2"/>
      <c r="AS72" s="2"/>
      <c r="AT72" s="2"/>
      <c r="AU72" s="2"/>
      <c r="AV72" s="2"/>
      <c r="AW72" s="2"/>
      <c r="AX72" s="2"/>
      <c r="AY72" s="2"/>
      <c r="AZ72" s="2"/>
      <c r="BA72" s="2"/>
      <c r="BB72" s="2"/>
      <c r="BC72" s="2"/>
      <c r="BD72" s="2"/>
      <c r="BE72" s="2"/>
      <c r="BF72" s="2"/>
      <c r="BG72" s="2"/>
      <c r="BH72" s="2"/>
      <c r="BI72" s="2"/>
      <c r="BJ72" s="2"/>
      <c r="BK72" s="2"/>
      <c r="BL72" s="2"/>
    </row>
    <row r="73" spans="1:64" ht="15.75" customHeight="1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3"/>
      <c r="X73" s="1"/>
      <c r="Y73" s="1"/>
      <c r="Z73" s="1"/>
      <c r="AA73" s="1"/>
      <c r="AB73" s="1"/>
      <c r="AC73" s="1"/>
      <c r="AD73" s="4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</row>
    <row r="74" spans="1:64" ht="15.75" customHeight="1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3"/>
      <c r="X74" s="1"/>
      <c r="Y74" s="1"/>
      <c r="Z74" s="1"/>
      <c r="AA74" s="1"/>
      <c r="AB74" s="1"/>
      <c r="AC74" s="1"/>
      <c r="AD74" s="4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2"/>
      <c r="AR74" s="2"/>
      <c r="AS74" s="2"/>
      <c r="AT74" s="2"/>
      <c r="AU74" s="2"/>
      <c r="AV74" s="2"/>
      <c r="AW74" s="2"/>
      <c r="AX74" s="2"/>
      <c r="AY74" s="2"/>
      <c r="AZ74" s="2"/>
      <c r="BA74" s="2"/>
      <c r="BB74" s="2"/>
      <c r="BC74" s="2"/>
      <c r="BD74" s="2"/>
      <c r="BE74" s="2"/>
      <c r="BF74" s="2"/>
      <c r="BG74" s="2"/>
      <c r="BH74" s="2"/>
      <c r="BI74" s="2"/>
      <c r="BJ74" s="2"/>
      <c r="BK74" s="2"/>
      <c r="BL74" s="2"/>
    </row>
    <row r="75" spans="1:64" ht="15.75" customHeight="1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3"/>
      <c r="X75" s="1"/>
      <c r="Y75" s="1"/>
      <c r="Z75" s="1"/>
      <c r="AA75" s="1"/>
      <c r="AB75" s="1"/>
      <c r="AC75" s="1"/>
      <c r="AD75" s="4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2"/>
      <c r="AR75" s="2"/>
      <c r="AS75" s="2"/>
      <c r="AT75" s="2"/>
      <c r="AU75" s="2"/>
      <c r="AV75" s="2"/>
      <c r="AW75" s="2"/>
      <c r="AX75" s="2"/>
      <c r="AY75" s="2"/>
      <c r="AZ75" s="2"/>
      <c r="BA75" s="2"/>
      <c r="BB75" s="2"/>
      <c r="BC75" s="2"/>
      <c r="BD75" s="2"/>
      <c r="BE75" s="2"/>
      <c r="BF75" s="2"/>
      <c r="BG75" s="2"/>
      <c r="BH75" s="2"/>
      <c r="BI75" s="2"/>
      <c r="BJ75" s="2"/>
      <c r="BK75" s="2"/>
      <c r="BL75" s="2"/>
    </row>
    <row r="76" spans="1:64" ht="15.75" customHeight="1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3"/>
      <c r="X76" s="1"/>
      <c r="Y76" s="1"/>
      <c r="Z76" s="1"/>
      <c r="AA76" s="1"/>
      <c r="AB76" s="1"/>
      <c r="AC76" s="1"/>
      <c r="AD76" s="4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2"/>
      <c r="AR76" s="2"/>
      <c r="AS76" s="2"/>
      <c r="AT76" s="2"/>
      <c r="AU76" s="2"/>
      <c r="AV76" s="2"/>
      <c r="AW76" s="2"/>
      <c r="AX76" s="2"/>
      <c r="AY76" s="2"/>
      <c r="AZ76" s="2"/>
      <c r="BA76" s="2"/>
      <c r="BB76" s="2"/>
      <c r="BC76" s="2"/>
      <c r="BD76" s="2"/>
      <c r="BE76" s="2"/>
      <c r="BF76" s="2"/>
      <c r="BG76" s="2"/>
      <c r="BH76" s="2"/>
      <c r="BI76" s="2"/>
      <c r="BJ76" s="2"/>
      <c r="BK76" s="2"/>
      <c r="BL76" s="2"/>
    </row>
    <row r="77" spans="1:64" ht="15.75" customHeight="1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3"/>
      <c r="X77" s="1"/>
      <c r="Y77" s="1"/>
      <c r="Z77" s="1"/>
      <c r="AA77" s="1"/>
      <c r="AB77" s="1"/>
      <c r="AC77" s="1"/>
      <c r="AD77" s="4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2"/>
      <c r="AR77" s="2"/>
      <c r="AS77" s="2"/>
      <c r="AT77" s="2"/>
      <c r="AU77" s="2"/>
      <c r="AV77" s="2"/>
      <c r="AW77" s="2"/>
      <c r="AX77" s="2"/>
      <c r="AY77" s="2"/>
      <c r="AZ77" s="2"/>
      <c r="BA77" s="2"/>
      <c r="BB77" s="2"/>
      <c r="BC77" s="2"/>
      <c r="BD77" s="2"/>
      <c r="BE77" s="2"/>
      <c r="BF77" s="2"/>
      <c r="BG77" s="2"/>
      <c r="BH77" s="2"/>
      <c r="BI77" s="2"/>
      <c r="BJ77" s="2"/>
      <c r="BK77" s="2"/>
      <c r="BL77" s="2"/>
    </row>
    <row r="78" spans="1:64" ht="15.75" customHeight="1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3"/>
      <c r="X78" s="1"/>
      <c r="Y78" s="1"/>
      <c r="Z78" s="1"/>
      <c r="AA78" s="1"/>
      <c r="AB78" s="1"/>
      <c r="AC78" s="1"/>
      <c r="AD78" s="4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2"/>
      <c r="AR78" s="2"/>
      <c r="AS78" s="2"/>
      <c r="AT78" s="2"/>
      <c r="AU78" s="2"/>
      <c r="AV78" s="2"/>
      <c r="AW78" s="2"/>
      <c r="AX78" s="2"/>
      <c r="AY78" s="2"/>
      <c r="AZ78" s="2"/>
      <c r="BA78" s="2"/>
      <c r="BB78" s="2"/>
      <c r="BC78" s="2"/>
      <c r="BD78" s="2"/>
      <c r="BE78" s="2"/>
      <c r="BF78" s="2"/>
      <c r="BG78" s="2"/>
      <c r="BH78" s="2"/>
      <c r="BI78" s="2"/>
      <c r="BJ78" s="2"/>
      <c r="BK78" s="2"/>
      <c r="BL78" s="2"/>
    </row>
    <row r="79" spans="1:64" ht="15.75" customHeight="1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3"/>
      <c r="X79" s="1"/>
      <c r="Y79" s="1"/>
      <c r="Z79" s="1"/>
      <c r="AA79" s="1"/>
      <c r="AB79" s="1"/>
      <c r="AC79" s="1"/>
      <c r="AD79" s="4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2"/>
      <c r="AR79" s="2"/>
      <c r="AS79" s="2"/>
      <c r="AT79" s="2"/>
      <c r="AU79" s="2"/>
      <c r="AV79" s="2"/>
      <c r="AW79" s="2"/>
      <c r="AX79" s="2"/>
      <c r="AY79" s="2"/>
      <c r="AZ79" s="2"/>
      <c r="BA79" s="2"/>
      <c r="BB79" s="2"/>
      <c r="BC79" s="2"/>
      <c r="BD79" s="2"/>
      <c r="BE79" s="2"/>
      <c r="BF79" s="2"/>
      <c r="BG79" s="2"/>
      <c r="BH79" s="2"/>
      <c r="BI79" s="2"/>
      <c r="BJ79" s="2"/>
      <c r="BK79" s="2"/>
      <c r="BL79" s="2"/>
    </row>
    <row r="80" spans="1:64" ht="15.75" customHeight="1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3"/>
      <c r="X80" s="1"/>
      <c r="Y80" s="1"/>
      <c r="Z80" s="1"/>
      <c r="AA80" s="1"/>
      <c r="AB80" s="1"/>
      <c r="AC80" s="1"/>
      <c r="AD80" s="4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2"/>
      <c r="AR80" s="2"/>
      <c r="AS80" s="2"/>
      <c r="AT80" s="2"/>
      <c r="AU80" s="2"/>
      <c r="AV80" s="2"/>
      <c r="AW80" s="2"/>
      <c r="AX80" s="2"/>
      <c r="AY80" s="2"/>
      <c r="AZ80" s="2"/>
      <c r="BA80" s="2"/>
      <c r="BB80" s="2"/>
      <c r="BC80" s="2"/>
      <c r="BD80" s="2"/>
      <c r="BE80" s="2"/>
      <c r="BF80" s="2"/>
      <c r="BG80" s="2"/>
      <c r="BH80" s="2"/>
      <c r="BI80" s="2"/>
      <c r="BJ80" s="2"/>
      <c r="BK80" s="2"/>
      <c r="BL80" s="2"/>
    </row>
    <row r="81" spans="1:64" ht="15.75" customHeight="1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3"/>
      <c r="X81" s="1"/>
      <c r="Y81" s="1"/>
      <c r="Z81" s="1"/>
      <c r="AA81" s="1"/>
      <c r="AB81" s="1"/>
      <c r="AC81" s="1"/>
      <c r="AD81" s="4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2"/>
      <c r="AR81" s="2"/>
      <c r="AS81" s="2"/>
      <c r="AT81" s="2"/>
      <c r="AU81" s="2"/>
      <c r="AV81" s="2"/>
      <c r="AW81" s="2"/>
      <c r="AX81" s="2"/>
      <c r="AY81" s="2"/>
      <c r="AZ81" s="2"/>
      <c r="BA81" s="2"/>
      <c r="BB81" s="2"/>
      <c r="BC81" s="2"/>
      <c r="BD81" s="2"/>
      <c r="BE81" s="2"/>
      <c r="BF81" s="2"/>
      <c r="BG81" s="2"/>
      <c r="BH81" s="2"/>
      <c r="BI81" s="2"/>
      <c r="BJ81" s="2"/>
      <c r="BK81" s="2"/>
      <c r="BL81" s="2"/>
    </row>
    <row r="82" spans="1:64" ht="15.75" customHeight="1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3"/>
      <c r="X82" s="1"/>
      <c r="Y82" s="1"/>
      <c r="Z82" s="1"/>
      <c r="AA82" s="1"/>
      <c r="AB82" s="1"/>
      <c r="AC82" s="1"/>
      <c r="AD82" s="4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2"/>
      <c r="AR82" s="2"/>
      <c r="AS82" s="2"/>
      <c r="AT82" s="2"/>
      <c r="AU82" s="2"/>
      <c r="AV82" s="2"/>
      <c r="AW82" s="2"/>
      <c r="AX82" s="2"/>
      <c r="AY82" s="2"/>
      <c r="AZ82" s="2"/>
      <c r="BA82" s="2"/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/>
    </row>
    <row r="83" spans="1:64" ht="15.75" customHeight="1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3"/>
      <c r="X83" s="1"/>
      <c r="Y83" s="1"/>
      <c r="Z83" s="1"/>
      <c r="AA83" s="1"/>
      <c r="AB83" s="1"/>
      <c r="AC83" s="1"/>
      <c r="AD83" s="4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2"/>
      <c r="AR83" s="2"/>
      <c r="AS83" s="2"/>
      <c r="AT83" s="2"/>
      <c r="AU83" s="2"/>
      <c r="AV83" s="2"/>
      <c r="AW83" s="2"/>
      <c r="AX83" s="2"/>
      <c r="AY83" s="2"/>
      <c r="AZ83" s="2"/>
      <c r="BA83" s="2"/>
      <c r="BB83" s="2"/>
      <c r="BC83" s="2"/>
      <c r="BD83" s="2"/>
      <c r="BE83" s="2"/>
      <c r="BF83" s="2"/>
      <c r="BG83" s="2"/>
      <c r="BH83" s="2"/>
      <c r="BI83" s="2"/>
      <c r="BJ83" s="2"/>
      <c r="BK83" s="2"/>
      <c r="BL83" s="2"/>
    </row>
    <row r="84" spans="1:64" ht="15.75" customHeight="1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3"/>
      <c r="X84" s="1"/>
      <c r="Y84" s="1"/>
      <c r="Z84" s="1"/>
      <c r="AA84" s="1"/>
      <c r="AB84" s="1"/>
      <c r="AC84" s="1"/>
      <c r="AD84" s="4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2"/>
      <c r="AR84" s="2"/>
      <c r="AS84" s="2"/>
      <c r="AT84" s="2"/>
      <c r="AU84" s="2"/>
      <c r="AV84" s="2"/>
      <c r="AW84" s="2"/>
      <c r="AX84" s="2"/>
      <c r="AY84" s="2"/>
      <c r="AZ84" s="2"/>
      <c r="BA84" s="2"/>
      <c r="BB84" s="2"/>
      <c r="BC84" s="2"/>
      <c r="BD84" s="2"/>
      <c r="BE84" s="2"/>
      <c r="BF84" s="2"/>
      <c r="BG84" s="2"/>
      <c r="BH84" s="2"/>
      <c r="BI84" s="2"/>
      <c r="BJ84" s="2"/>
      <c r="BK84" s="2"/>
      <c r="BL84" s="2"/>
    </row>
    <row r="85" spans="1:64" ht="15.75" customHeight="1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3"/>
      <c r="X85" s="1"/>
      <c r="Y85" s="1"/>
      <c r="Z85" s="1"/>
      <c r="AA85" s="1"/>
      <c r="AB85" s="1"/>
      <c r="AC85" s="1"/>
      <c r="AD85" s="4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2"/>
      <c r="AR85" s="2"/>
      <c r="AS85" s="2"/>
      <c r="AT85" s="2"/>
      <c r="AU85" s="2"/>
      <c r="AV85" s="2"/>
      <c r="AW85" s="2"/>
      <c r="AX85" s="2"/>
      <c r="AY85" s="2"/>
      <c r="AZ85" s="2"/>
      <c r="BA85" s="2"/>
      <c r="BB85" s="2"/>
      <c r="BC85" s="2"/>
      <c r="BD85" s="2"/>
      <c r="BE85" s="2"/>
      <c r="BF85" s="2"/>
      <c r="BG85" s="2"/>
      <c r="BH85" s="2"/>
      <c r="BI85" s="2"/>
      <c r="BJ85" s="2"/>
      <c r="BK85" s="2"/>
      <c r="BL85" s="2"/>
    </row>
    <row r="86" spans="1:64" ht="15.75" customHeight="1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3"/>
      <c r="X86" s="1"/>
      <c r="Y86" s="1"/>
      <c r="Z86" s="1"/>
      <c r="AA86" s="1"/>
      <c r="AB86" s="1"/>
      <c r="AC86" s="1"/>
      <c r="AD86" s="4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2"/>
      <c r="AR86" s="2"/>
      <c r="AS86" s="2"/>
      <c r="AT86" s="2"/>
      <c r="AU86" s="2"/>
      <c r="AV86" s="2"/>
      <c r="AW86" s="2"/>
      <c r="AX86" s="2"/>
      <c r="AY86" s="2"/>
      <c r="AZ86" s="2"/>
      <c r="BA86" s="2"/>
      <c r="BB86" s="2"/>
      <c r="BC86" s="2"/>
      <c r="BD86" s="2"/>
      <c r="BE86" s="2"/>
      <c r="BF86" s="2"/>
      <c r="BG86" s="2"/>
      <c r="BH86" s="2"/>
      <c r="BI86" s="2"/>
      <c r="BJ86" s="2"/>
      <c r="BK86" s="2"/>
      <c r="BL86" s="2"/>
    </row>
    <row r="87" spans="1:64" ht="15.75" customHeight="1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3"/>
      <c r="X87" s="1"/>
      <c r="Y87" s="1"/>
      <c r="Z87" s="1"/>
      <c r="AA87" s="1"/>
      <c r="AB87" s="1"/>
      <c r="AC87" s="1"/>
      <c r="AD87" s="4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2"/>
      <c r="AR87" s="2"/>
      <c r="AS87" s="2"/>
      <c r="AT87" s="2"/>
      <c r="AU87" s="2"/>
      <c r="AV87" s="2"/>
      <c r="AW87" s="2"/>
      <c r="AX87" s="2"/>
      <c r="AY87" s="2"/>
      <c r="AZ87" s="2"/>
      <c r="BA87" s="2"/>
      <c r="BB87" s="2"/>
      <c r="BC87" s="2"/>
      <c r="BD87" s="2"/>
      <c r="BE87" s="2"/>
      <c r="BF87" s="2"/>
      <c r="BG87" s="2"/>
      <c r="BH87" s="2"/>
      <c r="BI87" s="2"/>
      <c r="BJ87" s="2"/>
      <c r="BK87" s="2"/>
      <c r="BL87" s="2"/>
    </row>
    <row r="88" spans="1:64" ht="15.75" customHeight="1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3"/>
      <c r="X88" s="1"/>
      <c r="Y88" s="1"/>
      <c r="Z88" s="1"/>
      <c r="AA88" s="1"/>
      <c r="AB88" s="1"/>
      <c r="AC88" s="1"/>
      <c r="AD88" s="4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2"/>
      <c r="AR88" s="2"/>
      <c r="AS88" s="2"/>
      <c r="AT88" s="2"/>
      <c r="AU88" s="2"/>
      <c r="AV88" s="2"/>
      <c r="AW88" s="2"/>
      <c r="AX88" s="2"/>
      <c r="AY88" s="2"/>
      <c r="AZ88" s="2"/>
      <c r="BA88" s="2"/>
      <c r="BB88" s="2"/>
      <c r="BC88" s="2"/>
      <c r="BD88" s="2"/>
      <c r="BE88" s="2"/>
      <c r="BF88" s="2"/>
      <c r="BG88" s="2"/>
      <c r="BH88" s="2"/>
      <c r="BI88" s="2"/>
      <c r="BJ88" s="2"/>
      <c r="BK88" s="2"/>
      <c r="BL88" s="2"/>
    </row>
    <row r="89" spans="1:64" ht="15.75" customHeight="1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3"/>
      <c r="X89" s="1"/>
      <c r="Y89" s="1"/>
      <c r="Z89" s="1"/>
      <c r="AA89" s="1"/>
      <c r="AB89" s="1"/>
      <c r="AC89" s="1"/>
      <c r="AD89" s="4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2"/>
      <c r="AR89" s="2"/>
      <c r="AS89" s="2"/>
      <c r="AT89" s="2"/>
      <c r="AU89" s="2"/>
      <c r="AV89" s="2"/>
      <c r="AW89" s="2"/>
      <c r="AX89" s="2"/>
      <c r="AY89" s="2"/>
      <c r="AZ89" s="2"/>
      <c r="BA89" s="2"/>
      <c r="BB89" s="2"/>
      <c r="BC89" s="2"/>
      <c r="BD89" s="2"/>
      <c r="BE89" s="2"/>
      <c r="BF89" s="2"/>
      <c r="BG89" s="2"/>
      <c r="BH89" s="2"/>
      <c r="BI89" s="2"/>
      <c r="BJ89" s="2"/>
      <c r="BK89" s="2"/>
      <c r="BL89" s="2"/>
    </row>
    <row r="90" spans="1:64" ht="15.75" customHeight="1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3"/>
      <c r="X90" s="1"/>
      <c r="Y90" s="1"/>
      <c r="Z90" s="1"/>
      <c r="AA90" s="1"/>
      <c r="AB90" s="1"/>
      <c r="AC90" s="1"/>
      <c r="AD90" s="4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2"/>
      <c r="AR90" s="2"/>
      <c r="AS90" s="2"/>
      <c r="AT90" s="2"/>
      <c r="AU90" s="2"/>
      <c r="AV90" s="2"/>
      <c r="AW90" s="2"/>
      <c r="AX90" s="2"/>
      <c r="AY90" s="2"/>
      <c r="AZ90" s="2"/>
      <c r="BA90" s="2"/>
      <c r="BB90" s="2"/>
      <c r="BC90" s="2"/>
      <c r="BD90" s="2"/>
      <c r="BE90" s="2"/>
      <c r="BF90" s="2"/>
      <c r="BG90" s="2"/>
      <c r="BH90" s="2"/>
      <c r="BI90" s="2"/>
      <c r="BJ90" s="2"/>
      <c r="BK90" s="2"/>
      <c r="BL90" s="2"/>
    </row>
    <row r="91" spans="1:64" ht="15.75" customHeight="1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3"/>
      <c r="X91" s="1"/>
      <c r="Y91" s="1"/>
      <c r="Z91" s="1"/>
      <c r="AA91" s="1"/>
      <c r="AB91" s="1"/>
      <c r="AC91" s="1"/>
      <c r="AD91" s="4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2"/>
      <c r="AR91" s="2"/>
      <c r="AS91" s="2"/>
      <c r="AT91" s="2"/>
      <c r="AU91" s="2"/>
      <c r="AV91" s="2"/>
      <c r="AW91" s="2"/>
      <c r="AX91" s="2"/>
      <c r="AY91" s="2"/>
      <c r="AZ91" s="2"/>
      <c r="BA91" s="2"/>
      <c r="BB91" s="2"/>
      <c r="BC91" s="2"/>
      <c r="BD91" s="2"/>
      <c r="BE91" s="2"/>
      <c r="BF91" s="2"/>
      <c r="BG91" s="2"/>
      <c r="BH91" s="2"/>
      <c r="BI91" s="2"/>
      <c r="BJ91" s="2"/>
      <c r="BK91" s="2"/>
      <c r="BL91" s="2"/>
    </row>
    <row r="92" spans="1:64" ht="15.75" customHeight="1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3"/>
      <c r="X92" s="1"/>
      <c r="Y92" s="1"/>
      <c r="Z92" s="1"/>
      <c r="AA92" s="1"/>
      <c r="AB92" s="1"/>
      <c r="AC92" s="1"/>
      <c r="AD92" s="4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2"/>
      <c r="AR92" s="2"/>
      <c r="AS92" s="2"/>
      <c r="AT92" s="2"/>
      <c r="AU92" s="2"/>
      <c r="AV92" s="2"/>
      <c r="AW92" s="2"/>
      <c r="AX92" s="2"/>
      <c r="AY92" s="2"/>
      <c r="AZ92" s="2"/>
      <c r="BA92" s="2"/>
      <c r="BB92" s="2"/>
      <c r="BC92" s="2"/>
      <c r="BD92" s="2"/>
      <c r="BE92" s="2"/>
      <c r="BF92" s="2"/>
      <c r="BG92" s="2"/>
      <c r="BH92" s="2"/>
      <c r="BI92" s="2"/>
      <c r="BJ92" s="2"/>
      <c r="BK92" s="2"/>
      <c r="BL92" s="2"/>
    </row>
    <row r="93" spans="1:64" ht="15.75" customHeight="1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3"/>
      <c r="X93" s="1"/>
      <c r="Y93" s="1"/>
      <c r="Z93" s="1"/>
      <c r="AA93" s="1"/>
      <c r="AB93" s="1"/>
      <c r="AC93" s="1"/>
      <c r="AD93" s="4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2"/>
      <c r="AR93" s="2"/>
      <c r="AS93" s="2"/>
      <c r="AT93" s="2"/>
      <c r="AU93" s="2"/>
      <c r="AV93" s="2"/>
      <c r="AW93" s="2"/>
      <c r="AX93" s="2"/>
      <c r="AY93" s="2"/>
      <c r="AZ93" s="2"/>
      <c r="BA93" s="2"/>
      <c r="BB93" s="2"/>
      <c r="BC93" s="2"/>
      <c r="BD93" s="2"/>
      <c r="BE93" s="2"/>
      <c r="BF93" s="2"/>
      <c r="BG93" s="2"/>
      <c r="BH93" s="2"/>
      <c r="BI93" s="2"/>
      <c r="BJ93" s="2"/>
      <c r="BK93" s="2"/>
      <c r="BL93" s="2"/>
    </row>
    <row r="94" spans="1:64" ht="15.75" customHeight="1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3"/>
      <c r="X94" s="1"/>
      <c r="Y94" s="1"/>
      <c r="Z94" s="1"/>
      <c r="AA94" s="1"/>
      <c r="AB94" s="1"/>
      <c r="AC94" s="1"/>
      <c r="AD94" s="4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2"/>
      <c r="AR94" s="2"/>
      <c r="AS94" s="2"/>
      <c r="AT94" s="2"/>
      <c r="AU94" s="2"/>
      <c r="AV94" s="2"/>
      <c r="AW94" s="2"/>
      <c r="AX94" s="2"/>
      <c r="AY94" s="2"/>
      <c r="AZ94" s="2"/>
      <c r="BA94" s="2"/>
      <c r="BB94" s="2"/>
      <c r="BC94" s="2"/>
      <c r="BD94" s="2"/>
      <c r="BE94" s="2"/>
      <c r="BF94" s="2"/>
      <c r="BG94" s="2"/>
      <c r="BH94" s="2"/>
      <c r="BI94" s="2"/>
      <c r="BJ94" s="2"/>
      <c r="BK94" s="2"/>
      <c r="BL94" s="2"/>
    </row>
    <row r="95" spans="1:64" ht="15.75" customHeight="1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3"/>
      <c r="X95" s="1"/>
      <c r="Y95" s="1"/>
      <c r="Z95" s="1"/>
      <c r="AA95" s="1"/>
      <c r="AB95" s="1"/>
      <c r="AC95" s="1"/>
      <c r="AD95" s="4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2"/>
      <c r="AR95" s="2"/>
      <c r="AS95" s="2"/>
      <c r="AT95" s="2"/>
      <c r="AU95" s="2"/>
      <c r="AV95" s="2"/>
      <c r="AW95" s="2"/>
      <c r="AX95" s="2"/>
      <c r="AY95" s="2"/>
      <c r="AZ95" s="2"/>
      <c r="BA95" s="2"/>
      <c r="BB95" s="2"/>
      <c r="BC95" s="2"/>
      <c r="BD95" s="2"/>
      <c r="BE95" s="2"/>
      <c r="BF95" s="2"/>
      <c r="BG95" s="2"/>
      <c r="BH95" s="2"/>
      <c r="BI95" s="2"/>
      <c r="BJ95" s="2"/>
      <c r="BK95" s="2"/>
      <c r="BL95" s="2"/>
    </row>
    <row r="96" spans="1:64" ht="15.75" customHeight="1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3"/>
      <c r="X96" s="1"/>
      <c r="Y96" s="1"/>
      <c r="Z96" s="1"/>
      <c r="AA96" s="1"/>
      <c r="AB96" s="1"/>
      <c r="AC96" s="1"/>
      <c r="AD96" s="4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2"/>
      <c r="AR96" s="2"/>
      <c r="AS96" s="2"/>
      <c r="AT96" s="2"/>
      <c r="AU96" s="2"/>
      <c r="AV96" s="2"/>
      <c r="AW96" s="2"/>
      <c r="AX96" s="2"/>
      <c r="AY96" s="2"/>
      <c r="AZ96" s="2"/>
      <c r="BA96" s="2"/>
      <c r="BB96" s="2"/>
      <c r="BC96" s="2"/>
      <c r="BD96" s="2"/>
      <c r="BE96" s="2"/>
      <c r="BF96" s="2"/>
      <c r="BG96" s="2"/>
      <c r="BH96" s="2"/>
      <c r="BI96" s="2"/>
      <c r="BJ96" s="2"/>
      <c r="BK96" s="2"/>
      <c r="BL96" s="2"/>
    </row>
    <row r="97" spans="1:64" ht="15.75" customHeight="1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3"/>
      <c r="X97" s="1"/>
      <c r="Y97" s="1"/>
      <c r="Z97" s="1"/>
      <c r="AA97" s="1"/>
      <c r="AB97" s="1"/>
      <c r="AC97" s="1"/>
      <c r="AD97" s="4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2"/>
      <c r="AR97" s="2"/>
      <c r="AS97" s="2"/>
      <c r="AT97" s="2"/>
      <c r="AU97" s="2"/>
      <c r="AV97" s="2"/>
      <c r="AW97" s="2"/>
      <c r="AX97" s="2"/>
      <c r="AY97" s="2"/>
      <c r="AZ97" s="2"/>
      <c r="BA97" s="2"/>
      <c r="BB97" s="2"/>
      <c r="BC97" s="2"/>
      <c r="BD97" s="2"/>
      <c r="BE97" s="2"/>
      <c r="BF97" s="2"/>
      <c r="BG97" s="2"/>
      <c r="BH97" s="2"/>
      <c r="BI97" s="2"/>
      <c r="BJ97" s="2"/>
      <c r="BK97" s="2"/>
      <c r="BL97" s="2"/>
    </row>
    <row r="98" spans="1:64" ht="15.75" customHeight="1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3"/>
      <c r="X98" s="1"/>
      <c r="Y98" s="1"/>
      <c r="Z98" s="1"/>
      <c r="AA98" s="1"/>
      <c r="AB98" s="1"/>
      <c r="AC98" s="1"/>
      <c r="AD98" s="4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2"/>
      <c r="AR98" s="2"/>
      <c r="AS98" s="2"/>
      <c r="AT98" s="2"/>
      <c r="AU98" s="2"/>
      <c r="AV98" s="2"/>
      <c r="AW98" s="2"/>
      <c r="AX98" s="2"/>
      <c r="AY98" s="2"/>
      <c r="AZ98" s="2"/>
      <c r="BA98" s="2"/>
      <c r="BB98" s="2"/>
      <c r="BC98" s="2"/>
      <c r="BD98" s="2"/>
      <c r="BE98" s="2"/>
      <c r="BF98" s="2"/>
      <c r="BG98" s="2"/>
      <c r="BH98" s="2"/>
      <c r="BI98" s="2"/>
      <c r="BJ98" s="2"/>
      <c r="BK98" s="2"/>
      <c r="BL98" s="2"/>
    </row>
    <row r="99" spans="1:64" ht="15.75" customHeight="1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3"/>
      <c r="X99" s="1"/>
      <c r="Y99" s="1"/>
      <c r="Z99" s="1"/>
      <c r="AA99" s="1"/>
      <c r="AB99" s="1"/>
      <c r="AC99" s="1"/>
      <c r="AD99" s="4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2"/>
      <c r="AR99" s="2"/>
      <c r="AS99" s="2"/>
      <c r="AT99" s="2"/>
      <c r="AU99" s="2"/>
      <c r="AV99" s="2"/>
      <c r="AW99" s="2"/>
      <c r="AX99" s="2"/>
      <c r="AY99" s="2"/>
      <c r="AZ99" s="2"/>
      <c r="BA99" s="2"/>
      <c r="BB99" s="2"/>
      <c r="BC99" s="2"/>
      <c r="BD99" s="2"/>
      <c r="BE99" s="2"/>
      <c r="BF99" s="2"/>
      <c r="BG99" s="2"/>
      <c r="BH99" s="2"/>
      <c r="BI99" s="2"/>
      <c r="BJ99" s="2"/>
      <c r="BK99" s="2"/>
      <c r="BL99" s="2"/>
    </row>
    <row r="100" spans="1:64" ht="15.75" customHeight="1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3"/>
      <c r="X100" s="1"/>
      <c r="Y100" s="1"/>
      <c r="Z100" s="1"/>
      <c r="AA100" s="1"/>
      <c r="AB100" s="1"/>
      <c r="AC100" s="1"/>
      <c r="AD100" s="4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2"/>
      <c r="AR100" s="2"/>
      <c r="AS100" s="2"/>
      <c r="AT100" s="2"/>
      <c r="AU100" s="2"/>
      <c r="AV100" s="2"/>
      <c r="AW100" s="2"/>
      <c r="AX100" s="2"/>
      <c r="AY100" s="2"/>
      <c r="AZ100" s="2"/>
      <c r="BA100" s="2"/>
      <c r="BB100" s="2"/>
      <c r="BC100" s="2"/>
      <c r="BD100" s="2"/>
      <c r="BE100" s="2"/>
      <c r="BF100" s="2"/>
      <c r="BG100" s="2"/>
      <c r="BH100" s="2"/>
      <c r="BI100" s="2"/>
      <c r="BJ100" s="2"/>
      <c r="BK100" s="2"/>
      <c r="BL100" s="2"/>
    </row>
    <row r="101" spans="1:64" ht="15.75" customHeight="1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3"/>
      <c r="X101" s="1"/>
      <c r="Y101" s="1"/>
      <c r="Z101" s="1"/>
      <c r="AA101" s="1"/>
      <c r="AB101" s="1"/>
      <c r="AC101" s="1"/>
      <c r="AD101" s="4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2"/>
      <c r="AR101" s="2"/>
      <c r="AS101" s="2"/>
      <c r="AT101" s="2"/>
      <c r="AU101" s="2"/>
      <c r="AV101" s="2"/>
      <c r="AW101" s="2"/>
      <c r="AX101" s="2"/>
      <c r="AY101" s="2"/>
      <c r="AZ101" s="2"/>
      <c r="BA101" s="2"/>
      <c r="BB101" s="2"/>
      <c r="BC101" s="2"/>
      <c r="BD101" s="2"/>
      <c r="BE101" s="2"/>
      <c r="BF101" s="2"/>
      <c r="BG101" s="2"/>
      <c r="BH101" s="2"/>
      <c r="BI101" s="2"/>
      <c r="BJ101" s="2"/>
      <c r="BK101" s="2"/>
      <c r="BL101" s="2"/>
    </row>
    <row r="102" spans="1:64" ht="15.75" customHeight="1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3"/>
      <c r="X102" s="1"/>
      <c r="Y102" s="1"/>
      <c r="Z102" s="1"/>
      <c r="AA102" s="1"/>
      <c r="AB102" s="1"/>
      <c r="AC102" s="1"/>
      <c r="AD102" s="4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2"/>
      <c r="AR102" s="2"/>
      <c r="AS102" s="2"/>
      <c r="AT102" s="2"/>
      <c r="AU102" s="2"/>
      <c r="AV102" s="2"/>
      <c r="AW102" s="2"/>
      <c r="AX102" s="2"/>
      <c r="AY102" s="2"/>
      <c r="AZ102" s="2"/>
      <c r="BA102" s="2"/>
      <c r="BB102" s="2"/>
      <c r="BC102" s="2"/>
      <c r="BD102" s="2"/>
      <c r="BE102" s="2"/>
      <c r="BF102" s="2"/>
      <c r="BG102" s="2"/>
      <c r="BH102" s="2"/>
      <c r="BI102" s="2"/>
      <c r="BJ102" s="2"/>
      <c r="BK102" s="2"/>
      <c r="BL102" s="2"/>
    </row>
    <row r="103" spans="1:64" ht="15.75" customHeight="1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3"/>
      <c r="X103" s="1"/>
      <c r="Y103" s="1"/>
      <c r="Z103" s="1"/>
      <c r="AA103" s="1"/>
      <c r="AB103" s="1"/>
      <c r="AC103" s="1"/>
      <c r="AD103" s="4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2"/>
      <c r="AR103" s="2"/>
      <c r="AS103" s="2"/>
      <c r="AT103" s="2"/>
      <c r="AU103" s="2"/>
      <c r="AV103" s="2"/>
      <c r="AW103" s="2"/>
      <c r="AX103" s="2"/>
      <c r="AY103" s="2"/>
      <c r="AZ103" s="2"/>
      <c r="BA103" s="2"/>
      <c r="BB103" s="2"/>
      <c r="BC103" s="2"/>
      <c r="BD103" s="2"/>
      <c r="BE103" s="2"/>
      <c r="BF103" s="2"/>
      <c r="BG103" s="2"/>
      <c r="BH103" s="2"/>
      <c r="BI103" s="2"/>
      <c r="BJ103" s="2"/>
      <c r="BK103" s="2"/>
      <c r="BL103" s="2"/>
    </row>
    <row r="104" spans="1:64" ht="15.75" customHeight="1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3"/>
      <c r="X104" s="1"/>
      <c r="Y104" s="1"/>
      <c r="Z104" s="1"/>
      <c r="AA104" s="1"/>
      <c r="AB104" s="1"/>
      <c r="AC104" s="1"/>
      <c r="AD104" s="4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2"/>
      <c r="AR104" s="2"/>
      <c r="AS104" s="2"/>
      <c r="AT104" s="2"/>
      <c r="AU104" s="2"/>
      <c r="AV104" s="2"/>
      <c r="AW104" s="2"/>
      <c r="AX104" s="2"/>
      <c r="AY104" s="2"/>
      <c r="AZ104" s="2"/>
      <c r="BA104" s="2"/>
      <c r="BB104" s="2"/>
      <c r="BC104" s="2"/>
      <c r="BD104" s="2"/>
      <c r="BE104" s="2"/>
      <c r="BF104" s="2"/>
      <c r="BG104" s="2"/>
      <c r="BH104" s="2"/>
      <c r="BI104" s="2"/>
      <c r="BJ104" s="2"/>
      <c r="BK104" s="2"/>
      <c r="BL104" s="2"/>
    </row>
    <row r="105" spans="1:64" ht="15.75" customHeight="1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3"/>
      <c r="X105" s="1"/>
      <c r="Y105" s="1"/>
      <c r="Z105" s="1"/>
      <c r="AA105" s="1"/>
      <c r="AB105" s="1"/>
      <c r="AC105" s="1"/>
      <c r="AD105" s="4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2"/>
      <c r="AR105" s="2"/>
      <c r="AS105" s="2"/>
      <c r="AT105" s="2"/>
      <c r="AU105" s="2"/>
      <c r="AV105" s="2"/>
      <c r="AW105" s="2"/>
      <c r="AX105" s="2"/>
      <c r="AY105" s="2"/>
      <c r="AZ105" s="2"/>
      <c r="BA105" s="2"/>
      <c r="BB105" s="2"/>
      <c r="BC105" s="2"/>
      <c r="BD105" s="2"/>
      <c r="BE105" s="2"/>
      <c r="BF105" s="2"/>
      <c r="BG105" s="2"/>
      <c r="BH105" s="2"/>
      <c r="BI105" s="2"/>
      <c r="BJ105" s="2"/>
      <c r="BK105" s="2"/>
      <c r="BL105" s="2"/>
    </row>
    <row r="106" spans="1:64" ht="15.75" customHeight="1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3"/>
      <c r="X106" s="1"/>
      <c r="Y106" s="1"/>
      <c r="Z106" s="1"/>
      <c r="AA106" s="1"/>
      <c r="AB106" s="1"/>
      <c r="AC106" s="1"/>
      <c r="AD106" s="4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2"/>
      <c r="AR106" s="2"/>
      <c r="AS106" s="2"/>
      <c r="AT106" s="2"/>
      <c r="AU106" s="2"/>
      <c r="AV106" s="2"/>
      <c r="AW106" s="2"/>
      <c r="AX106" s="2"/>
      <c r="AY106" s="2"/>
      <c r="AZ106" s="2"/>
      <c r="BA106" s="2"/>
      <c r="BB106" s="2"/>
      <c r="BC106" s="2"/>
      <c r="BD106" s="2"/>
      <c r="BE106" s="2"/>
      <c r="BF106" s="2"/>
      <c r="BG106" s="2"/>
      <c r="BH106" s="2"/>
      <c r="BI106" s="2"/>
      <c r="BJ106" s="2"/>
      <c r="BK106" s="2"/>
      <c r="BL106" s="2"/>
    </row>
    <row r="107" spans="1:64" ht="15.75" customHeight="1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3"/>
      <c r="X107" s="1"/>
      <c r="Y107" s="1"/>
      <c r="Z107" s="1"/>
      <c r="AA107" s="1"/>
      <c r="AB107" s="1"/>
      <c r="AC107" s="1"/>
      <c r="AD107" s="4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2"/>
      <c r="AR107" s="2"/>
      <c r="AS107" s="2"/>
      <c r="AT107" s="2"/>
      <c r="AU107" s="2"/>
      <c r="AV107" s="2"/>
      <c r="AW107" s="2"/>
      <c r="AX107" s="2"/>
      <c r="AY107" s="2"/>
      <c r="AZ107" s="2"/>
      <c r="BA107" s="2"/>
      <c r="BB107" s="2"/>
      <c r="BC107" s="2"/>
      <c r="BD107" s="2"/>
      <c r="BE107" s="2"/>
      <c r="BF107" s="2"/>
      <c r="BG107" s="2"/>
      <c r="BH107" s="2"/>
      <c r="BI107" s="2"/>
      <c r="BJ107" s="2"/>
      <c r="BK107" s="2"/>
      <c r="BL107" s="2"/>
    </row>
    <row r="108" spans="1:64" ht="15.75" customHeight="1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3"/>
      <c r="X108" s="1"/>
      <c r="Y108" s="1"/>
      <c r="Z108" s="1"/>
      <c r="AA108" s="1"/>
      <c r="AB108" s="1"/>
      <c r="AC108" s="1"/>
      <c r="AD108" s="4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2"/>
      <c r="AR108" s="2"/>
      <c r="AS108" s="2"/>
      <c r="AT108" s="2"/>
      <c r="AU108" s="2"/>
      <c r="AV108" s="2"/>
      <c r="AW108" s="2"/>
      <c r="AX108" s="2"/>
      <c r="AY108" s="2"/>
      <c r="AZ108" s="2"/>
      <c r="BA108" s="2"/>
      <c r="BB108" s="2"/>
      <c r="BC108" s="2"/>
      <c r="BD108" s="2"/>
      <c r="BE108" s="2"/>
      <c r="BF108" s="2"/>
      <c r="BG108" s="2"/>
      <c r="BH108" s="2"/>
      <c r="BI108" s="2"/>
      <c r="BJ108" s="2"/>
      <c r="BK108" s="2"/>
      <c r="BL108" s="2"/>
    </row>
    <row r="109" spans="1:64" ht="15.75" customHeight="1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3"/>
      <c r="X109" s="1"/>
      <c r="Y109" s="1"/>
      <c r="Z109" s="1"/>
      <c r="AA109" s="1"/>
      <c r="AB109" s="1"/>
      <c r="AC109" s="1"/>
      <c r="AD109" s="4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2"/>
      <c r="AR109" s="2"/>
      <c r="AS109" s="2"/>
      <c r="AT109" s="2"/>
      <c r="AU109" s="2"/>
      <c r="AV109" s="2"/>
      <c r="AW109" s="2"/>
      <c r="AX109" s="2"/>
      <c r="AY109" s="2"/>
      <c r="AZ109" s="2"/>
      <c r="BA109" s="2"/>
      <c r="BB109" s="2"/>
      <c r="BC109" s="2"/>
      <c r="BD109" s="2"/>
      <c r="BE109" s="2"/>
      <c r="BF109" s="2"/>
      <c r="BG109" s="2"/>
      <c r="BH109" s="2"/>
      <c r="BI109" s="2"/>
      <c r="BJ109" s="2"/>
      <c r="BK109" s="2"/>
      <c r="BL109" s="2"/>
    </row>
    <row r="110" spans="1:64" ht="15.75" customHeight="1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3"/>
      <c r="X110" s="1"/>
      <c r="Y110" s="1"/>
      <c r="Z110" s="1"/>
      <c r="AA110" s="1"/>
      <c r="AB110" s="1"/>
      <c r="AC110" s="1"/>
      <c r="AD110" s="4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</row>
    <row r="111" spans="1:64" ht="15.75" customHeight="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3"/>
      <c r="X111" s="1"/>
      <c r="Y111" s="1"/>
      <c r="Z111" s="1"/>
      <c r="AA111" s="1"/>
      <c r="AB111" s="1"/>
      <c r="AC111" s="1"/>
      <c r="AD111" s="4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</row>
    <row r="112" spans="1:64" ht="15.75" customHeight="1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3"/>
      <c r="X112" s="1"/>
      <c r="Y112" s="1"/>
      <c r="Z112" s="1"/>
      <c r="AA112" s="1"/>
      <c r="AB112" s="1"/>
      <c r="AC112" s="1"/>
      <c r="AD112" s="4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</row>
    <row r="113" spans="1:64" ht="15.75" customHeight="1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3"/>
      <c r="X113" s="1"/>
      <c r="Y113" s="1"/>
      <c r="Z113" s="1"/>
      <c r="AA113" s="1"/>
      <c r="AB113" s="1"/>
      <c r="AC113" s="1"/>
      <c r="AD113" s="4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2"/>
      <c r="AR113" s="2"/>
      <c r="AS113" s="2"/>
      <c r="AT113" s="2"/>
      <c r="AU113" s="2"/>
      <c r="AV113" s="2"/>
      <c r="AW113" s="2"/>
      <c r="AX113" s="2"/>
      <c r="AY113" s="2"/>
      <c r="AZ113" s="2"/>
      <c r="BA113" s="2"/>
      <c r="BB113" s="2"/>
      <c r="BC113" s="2"/>
      <c r="BD113" s="2"/>
      <c r="BE113" s="2"/>
      <c r="BF113" s="2"/>
      <c r="BG113" s="2"/>
      <c r="BH113" s="2"/>
      <c r="BI113" s="2"/>
      <c r="BJ113" s="2"/>
      <c r="BK113" s="2"/>
      <c r="BL113" s="2"/>
    </row>
    <row r="114" spans="1:64" ht="15.75" customHeight="1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3"/>
      <c r="X114" s="1"/>
      <c r="Y114" s="1"/>
      <c r="Z114" s="1"/>
      <c r="AA114" s="1"/>
      <c r="AB114" s="1"/>
      <c r="AC114" s="1"/>
      <c r="AD114" s="4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2"/>
      <c r="AR114" s="2"/>
      <c r="AS114" s="2"/>
      <c r="AT114" s="2"/>
      <c r="AU114" s="2"/>
      <c r="AV114" s="2"/>
      <c r="AW114" s="2"/>
      <c r="AX114" s="2"/>
      <c r="AY114" s="2"/>
      <c r="AZ114" s="2"/>
      <c r="BA114" s="2"/>
      <c r="BB114" s="2"/>
      <c r="BC114" s="2"/>
      <c r="BD114" s="2"/>
      <c r="BE114" s="2"/>
      <c r="BF114" s="2"/>
      <c r="BG114" s="2"/>
      <c r="BH114" s="2"/>
      <c r="BI114" s="2"/>
      <c r="BJ114" s="2"/>
      <c r="BK114" s="2"/>
      <c r="BL114" s="2"/>
    </row>
    <row r="115" spans="1:64" ht="15.75" customHeight="1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3"/>
      <c r="X115" s="1"/>
      <c r="Y115" s="1"/>
      <c r="Z115" s="1"/>
      <c r="AA115" s="1"/>
      <c r="AB115" s="1"/>
      <c r="AC115" s="1"/>
      <c r="AD115" s="4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2"/>
      <c r="AR115" s="2"/>
      <c r="AS115" s="2"/>
      <c r="AT115" s="2"/>
      <c r="AU115" s="2"/>
      <c r="AV115" s="2"/>
      <c r="AW115" s="2"/>
      <c r="AX115" s="2"/>
      <c r="AY115" s="2"/>
      <c r="AZ115" s="2"/>
      <c r="BA115" s="2"/>
      <c r="BB115" s="2"/>
      <c r="BC115" s="2"/>
      <c r="BD115" s="2"/>
      <c r="BE115" s="2"/>
      <c r="BF115" s="2"/>
      <c r="BG115" s="2"/>
      <c r="BH115" s="2"/>
      <c r="BI115" s="2"/>
      <c r="BJ115" s="2"/>
      <c r="BK115" s="2"/>
      <c r="BL115" s="2"/>
    </row>
    <row r="116" spans="1:64" ht="15.75" customHeight="1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3"/>
      <c r="X116" s="1"/>
      <c r="Y116" s="1"/>
      <c r="Z116" s="1"/>
      <c r="AA116" s="1"/>
      <c r="AB116" s="1"/>
      <c r="AC116" s="1"/>
      <c r="AD116" s="4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2"/>
      <c r="AR116" s="2"/>
      <c r="AS116" s="2"/>
      <c r="AT116" s="2"/>
      <c r="AU116" s="2"/>
      <c r="AV116" s="2"/>
      <c r="AW116" s="2"/>
      <c r="AX116" s="2"/>
      <c r="AY116" s="2"/>
      <c r="AZ116" s="2"/>
      <c r="BA116" s="2"/>
      <c r="BB116" s="2"/>
      <c r="BC116" s="2"/>
      <c r="BD116" s="2"/>
      <c r="BE116" s="2"/>
      <c r="BF116" s="2"/>
      <c r="BG116" s="2"/>
      <c r="BH116" s="2"/>
      <c r="BI116" s="2"/>
      <c r="BJ116" s="2"/>
      <c r="BK116" s="2"/>
      <c r="BL116" s="2"/>
    </row>
    <row r="117" spans="1:64" ht="15.75" customHeight="1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3"/>
      <c r="X117" s="1"/>
      <c r="Y117" s="1"/>
      <c r="Z117" s="1"/>
      <c r="AA117" s="1"/>
      <c r="AB117" s="1"/>
      <c r="AC117" s="1"/>
      <c r="AD117" s="4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2"/>
      <c r="AR117" s="2"/>
      <c r="AS117" s="2"/>
      <c r="AT117" s="2"/>
      <c r="AU117" s="2"/>
      <c r="AV117" s="2"/>
      <c r="AW117" s="2"/>
      <c r="AX117" s="2"/>
      <c r="AY117" s="2"/>
      <c r="AZ117" s="2"/>
      <c r="BA117" s="2"/>
      <c r="BB117" s="2"/>
      <c r="BC117" s="2"/>
      <c r="BD117" s="2"/>
      <c r="BE117" s="2"/>
      <c r="BF117" s="2"/>
      <c r="BG117" s="2"/>
      <c r="BH117" s="2"/>
      <c r="BI117" s="2"/>
      <c r="BJ117" s="2"/>
      <c r="BK117" s="2"/>
      <c r="BL117" s="2"/>
    </row>
    <row r="118" spans="1:64" ht="15.75" customHeight="1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3"/>
      <c r="X118" s="1"/>
      <c r="Y118" s="1"/>
      <c r="Z118" s="1"/>
      <c r="AA118" s="1"/>
      <c r="AB118" s="1"/>
      <c r="AC118" s="1"/>
      <c r="AD118" s="4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2"/>
      <c r="AR118" s="2"/>
      <c r="AS118" s="2"/>
      <c r="AT118" s="2"/>
      <c r="AU118" s="2"/>
      <c r="AV118" s="2"/>
      <c r="AW118" s="2"/>
      <c r="AX118" s="2"/>
      <c r="AY118" s="2"/>
      <c r="AZ118" s="2"/>
      <c r="BA118" s="2"/>
      <c r="BB118" s="2"/>
      <c r="BC118" s="2"/>
      <c r="BD118" s="2"/>
      <c r="BE118" s="2"/>
      <c r="BF118" s="2"/>
      <c r="BG118" s="2"/>
      <c r="BH118" s="2"/>
      <c r="BI118" s="2"/>
      <c r="BJ118" s="2"/>
      <c r="BK118" s="2"/>
      <c r="BL118" s="2"/>
    </row>
    <row r="119" spans="1:64" ht="15.75" customHeight="1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3"/>
      <c r="X119" s="1"/>
      <c r="Y119" s="1"/>
      <c r="Z119" s="1"/>
      <c r="AA119" s="1"/>
      <c r="AB119" s="1"/>
      <c r="AC119" s="1"/>
      <c r="AD119" s="4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2"/>
      <c r="AR119" s="2"/>
      <c r="AS119" s="2"/>
      <c r="AT119" s="2"/>
      <c r="AU119" s="2"/>
      <c r="AV119" s="2"/>
      <c r="AW119" s="2"/>
      <c r="AX119" s="2"/>
      <c r="AY119" s="2"/>
      <c r="AZ119" s="2"/>
      <c r="BA119" s="2"/>
      <c r="BB119" s="2"/>
      <c r="BC119" s="2"/>
      <c r="BD119" s="2"/>
      <c r="BE119" s="2"/>
      <c r="BF119" s="2"/>
      <c r="BG119" s="2"/>
      <c r="BH119" s="2"/>
      <c r="BI119" s="2"/>
      <c r="BJ119" s="2"/>
      <c r="BK119" s="2"/>
      <c r="BL119" s="2"/>
    </row>
    <row r="120" spans="1:64" ht="15.75" customHeight="1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3"/>
      <c r="X120" s="1"/>
      <c r="Y120" s="1"/>
      <c r="Z120" s="1"/>
      <c r="AA120" s="1"/>
      <c r="AB120" s="1"/>
      <c r="AC120" s="1"/>
      <c r="AD120" s="4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2"/>
      <c r="AR120" s="2"/>
      <c r="AS120" s="2"/>
      <c r="AT120" s="2"/>
      <c r="AU120" s="2"/>
      <c r="AV120" s="2"/>
      <c r="AW120" s="2"/>
      <c r="AX120" s="2"/>
      <c r="AY120" s="2"/>
      <c r="AZ120" s="2"/>
      <c r="BA120" s="2"/>
      <c r="BB120" s="2"/>
      <c r="BC120" s="2"/>
      <c r="BD120" s="2"/>
      <c r="BE120" s="2"/>
      <c r="BF120" s="2"/>
      <c r="BG120" s="2"/>
      <c r="BH120" s="2"/>
      <c r="BI120" s="2"/>
      <c r="BJ120" s="2"/>
      <c r="BK120" s="2"/>
      <c r="BL120" s="2"/>
    </row>
    <row r="121" spans="1:64" ht="15.75" customHeight="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3"/>
      <c r="X121" s="1"/>
      <c r="Y121" s="1"/>
      <c r="Z121" s="1"/>
      <c r="AA121" s="1"/>
      <c r="AB121" s="1"/>
      <c r="AC121" s="1"/>
      <c r="AD121" s="4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2"/>
      <c r="AR121" s="2"/>
      <c r="AS121" s="2"/>
      <c r="AT121" s="2"/>
      <c r="AU121" s="2"/>
      <c r="AV121" s="2"/>
      <c r="AW121" s="2"/>
      <c r="AX121" s="2"/>
      <c r="AY121" s="2"/>
      <c r="AZ121" s="2"/>
      <c r="BA121" s="2"/>
      <c r="BB121" s="2"/>
      <c r="BC121" s="2"/>
      <c r="BD121" s="2"/>
      <c r="BE121" s="2"/>
      <c r="BF121" s="2"/>
      <c r="BG121" s="2"/>
      <c r="BH121" s="2"/>
      <c r="BI121" s="2"/>
      <c r="BJ121" s="2"/>
      <c r="BK121" s="2"/>
      <c r="BL121" s="2"/>
    </row>
    <row r="122" spans="1:64" ht="15.75" customHeight="1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3"/>
      <c r="X122" s="1"/>
      <c r="Y122" s="1"/>
      <c r="Z122" s="1"/>
      <c r="AA122" s="1"/>
      <c r="AB122" s="1"/>
      <c r="AC122" s="1"/>
      <c r="AD122" s="4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2"/>
      <c r="AR122" s="2"/>
      <c r="AS122" s="2"/>
      <c r="AT122" s="2"/>
      <c r="AU122" s="2"/>
      <c r="AV122" s="2"/>
      <c r="AW122" s="2"/>
      <c r="AX122" s="2"/>
      <c r="AY122" s="2"/>
      <c r="AZ122" s="2"/>
      <c r="BA122" s="2"/>
      <c r="BB122" s="2"/>
      <c r="BC122" s="2"/>
      <c r="BD122" s="2"/>
      <c r="BE122" s="2"/>
      <c r="BF122" s="2"/>
      <c r="BG122" s="2"/>
      <c r="BH122" s="2"/>
      <c r="BI122" s="2"/>
      <c r="BJ122" s="2"/>
      <c r="BK122" s="2"/>
      <c r="BL122" s="2"/>
    </row>
    <row r="123" spans="1:64" ht="15.75" customHeight="1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3"/>
      <c r="X123" s="1"/>
      <c r="Y123" s="1"/>
      <c r="Z123" s="1"/>
      <c r="AA123" s="1"/>
      <c r="AB123" s="1"/>
      <c r="AC123" s="1"/>
      <c r="AD123" s="4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2"/>
      <c r="AR123" s="2"/>
      <c r="AS123" s="2"/>
      <c r="AT123" s="2"/>
      <c r="AU123" s="2"/>
      <c r="AV123" s="2"/>
      <c r="AW123" s="2"/>
      <c r="AX123" s="2"/>
      <c r="AY123" s="2"/>
      <c r="AZ123" s="2"/>
      <c r="BA123" s="2"/>
      <c r="BB123" s="2"/>
      <c r="BC123" s="2"/>
      <c r="BD123" s="2"/>
      <c r="BE123" s="2"/>
      <c r="BF123" s="2"/>
      <c r="BG123" s="2"/>
      <c r="BH123" s="2"/>
      <c r="BI123" s="2"/>
      <c r="BJ123" s="2"/>
      <c r="BK123" s="2"/>
      <c r="BL123" s="2"/>
    </row>
    <row r="124" spans="1:64" ht="15.75" customHeight="1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3"/>
      <c r="X124" s="1"/>
      <c r="Y124" s="1"/>
      <c r="Z124" s="1"/>
      <c r="AA124" s="1"/>
      <c r="AB124" s="1"/>
      <c r="AC124" s="1"/>
      <c r="AD124" s="4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2"/>
      <c r="AR124" s="2"/>
      <c r="AS124" s="2"/>
      <c r="AT124" s="2"/>
      <c r="AU124" s="2"/>
      <c r="AV124" s="2"/>
      <c r="AW124" s="2"/>
      <c r="AX124" s="2"/>
      <c r="AY124" s="2"/>
      <c r="AZ124" s="2"/>
      <c r="BA124" s="2"/>
      <c r="BB124" s="2"/>
      <c r="BC124" s="2"/>
      <c r="BD124" s="2"/>
      <c r="BE124" s="2"/>
      <c r="BF124" s="2"/>
      <c r="BG124" s="2"/>
      <c r="BH124" s="2"/>
      <c r="BI124" s="2"/>
      <c r="BJ124" s="2"/>
      <c r="BK124" s="2"/>
      <c r="BL124" s="2"/>
    </row>
    <row r="125" spans="1:64" ht="15.75" customHeight="1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3"/>
      <c r="X125" s="1"/>
      <c r="Y125" s="1"/>
      <c r="Z125" s="1"/>
      <c r="AA125" s="1"/>
      <c r="AB125" s="1"/>
      <c r="AC125" s="1"/>
      <c r="AD125" s="4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2"/>
      <c r="AR125" s="2"/>
      <c r="AS125" s="2"/>
      <c r="AT125" s="2"/>
      <c r="AU125" s="2"/>
      <c r="AV125" s="2"/>
      <c r="AW125" s="2"/>
      <c r="AX125" s="2"/>
      <c r="AY125" s="2"/>
      <c r="AZ125" s="2"/>
      <c r="BA125" s="2"/>
      <c r="BB125" s="2"/>
      <c r="BC125" s="2"/>
      <c r="BD125" s="2"/>
      <c r="BE125" s="2"/>
      <c r="BF125" s="2"/>
      <c r="BG125" s="2"/>
      <c r="BH125" s="2"/>
      <c r="BI125" s="2"/>
      <c r="BJ125" s="2"/>
      <c r="BK125" s="2"/>
      <c r="BL125" s="2"/>
    </row>
    <row r="126" spans="1:64" ht="15.75" customHeight="1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3"/>
      <c r="X126" s="1"/>
      <c r="Y126" s="1"/>
      <c r="Z126" s="1"/>
      <c r="AA126" s="1"/>
      <c r="AB126" s="1"/>
      <c r="AC126" s="1"/>
      <c r="AD126" s="4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2"/>
      <c r="BC126" s="2"/>
      <c r="BD126" s="2"/>
      <c r="BE126" s="2"/>
      <c r="BF126" s="2"/>
      <c r="BG126" s="2"/>
      <c r="BH126" s="2"/>
      <c r="BI126" s="2"/>
      <c r="BJ126" s="2"/>
      <c r="BK126" s="2"/>
      <c r="BL126" s="2"/>
    </row>
    <row r="127" spans="1:64" ht="15.75" customHeight="1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3"/>
      <c r="X127" s="1"/>
      <c r="Y127" s="1"/>
      <c r="Z127" s="1"/>
      <c r="AA127" s="1"/>
      <c r="AB127" s="1"/>
      <c r="AC127" s="1"/>
      <c r="AD127" s="4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2"/>
      <c r="AR127" s="2"/>
      <c r="AS127" s="2"/>
      <c r="AT127" s="2"/>
      <c r="AU127" s="2"/>
      <c r="AV127" s="2"/>
      <c r="AW127" s="2"/>
      <c r="AX127" s="2"/>
      <c r="AY127" s="2"/>
      <c r="AZ127" s="2"/>
      <c r="BA127" s="2"/>
      <c r="BB127" s="2"/>
      <c r="BC127" s="2"/>
      <c r="BD127" s="2"/>
      <c r="BE127" s="2"/>
      <c r="BF127" s="2"/>
      <c r="BG127" s="2"/>
      <c r="BH127" s="2"/>
      <c r="BI127" s="2"/>
      <c r="BJ127" s="2"/>
      <c r="BK127" s="2"/>
      <c r="BL127" s="2"/>
    </row>
    <row r="128" spans="1:64" ht="15.75" customHeight="1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3"/>
      <c r="X128" s="1"/>
      <c r="Y128" s="1"/>
      <c r="Z128" s="1"/>
      <c r="AA128" s="1"/>
      <c r="AB128" s="1"/>
      <c r="AC128" s="1"/>
      <c r="AD128" s="4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2"/>
      <c r="AR128" s="2"/>
      <c r="AS128" s="2"/>
      <c r="AT128" s="2"/>
      <c r="AU128" s="2"/>
      <c r="AV128" s="2"/>
      <c r="AW128" s="2"/>
      <c r="AX128" s="2"/>
      <c r="AY128" s="2"/>
      <c r="AZ128" s="2"/>
      <c r="BA128" s="2"/>
      <c r="BB128" s="2"/>
      <c r="BC128" s="2"/>
      <c r="BD128" s="2"/>
      <c r="BE128" s="2"/>
      <c r="BF128" s="2"/>
      <c r="BG128" s="2"/>
      <c r="BH128" s="2"/>
      <c r="BI128" s="2"/>
      <c r="BJ128" s="2"/>
      <c r="BK128" s="2"/>
      <c r="BL128" s="2"/>
    </row>
    <row r="129" spans="1:64" ht="15.75" customHeight="1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3"/>
      <c r="X129" s="1"/>
      <c r="Y129" s="1"/>
      <c r="Z129" s="1"/>
      <c r="AA129" s="1"/>
      <c r="AB129" s="1"/>
      <c r="AC129" s="1"/>
      <c r="AD129" s="4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2"/>
      <c r="AR129" s="2"/>
      <c r="AS129" s="2"/>
      <c r="AT129" s="2"/>
      <c r="AU129" s="2"/>
      <c r="AV129" s="2"/>
      <c r="AW129" s="2"/>
      <c r="AX129" s="2"/>
      <c r="AY129" s="2"/>
      <c r="AZ129" s="2"/>
      <c r="BA129" s="2"/>
      <c r="BB129" s="2"/>
      <c r="BC129" s="2"/>
      <c r="BD129" s="2"/>
      <c r="BE129" s="2"/>
      <c r="BF129" s="2"/>
      <c r="BG129" s="2"/>
      <c r="BH129" s="2"/>
      <c r="BI129" s="2"/>
      <c r="BJ129" s="2"/>
      <c r="BK129" s="2"/>
      <c r="BL129" s="2"/>
    </row>
    <row r="130" spans="1:64" ht="15.75" customHeight="1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3"/>
      <c r="X130" s="1"/>
      <c r="Y130" s="1"/>
      <c r="Z130" s="1"/>
      <c r="AA130" s="1"/>
      <c r="AB130" s="1"/>
      <c r="AC130" s="1"/>
      <c r="AD130" s="4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2"/>
      <c r="AR130" s="2"/>
      <c r="AS130" s="2"/>
      <c r="AT130" s="2"/>
      <c r="AU130" s="2"/>
      <c r="AV130" s="2"/>
      <c r="AW130" s="2"/>
      <c r="AX130" s="2"/>
      <c r="AY130" s="2"/>
      <c r="AZ130" s="2"/>
      <c r="BA130" s="2"/>
      <c r="BB130" s="2"/>
      <c r="BC130" s="2"/>
      <c r="BD130" s="2"/>
      <c r="BE130" s="2"/>
      <c r="BF130" s="2"/>
      <c r="BG130" s="2"/>
      <c r="BH130" s="2"/>
      <c r="BI130" s="2"/>
      <c r="BJ130" s="2"/>
      <c r="BK130" s="2"/>
      <c r="BL130" s="2"/>
    </row>
    <row r="131" spans="1:64" ht="15.75" customHeight="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3"/>
      <c r="X131" s="1"/>
      <c r="Y131" s="1"/>
      <c r="Z131" s="1"/>
      <c r="AA131" s="1"/>
      <c r="AB131" s="1"/>
      <c r="AC131" s="1"/>
      <c r="AD131" s="4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2"/>
      <c r="AR131" s="2"/>
      <c r="AS131" s="2"/>
      <c r="AT131" s="2"/>
      <c r="AU131" s="2"/>
      <c r="AV131" s="2"/>
      <c r="AW131" s="2"/>
      <c r="AX131" s="2"/>
      <c r="AY131" s="2"/>
      <c r="AZ131" s="2"/>
      <c r="BA131" s="2"/>
      <c r="BB131" s="2"/>
      <c r="BC131" s="2"/>
      <c r="BD131" s="2"/>
      <c r="BE131" s="2"/>
      <c r="BF131" s="2"/>
      <c r="BG131" s="2"/>
      <c r="BH131" s="2"/>
      <c r="BI131" s="2"/>
      <c r="BJ131" s="2"/>
      <c r="BK131" s="2"/>
      <c r="BL131" s="2"/>
    </row>
    <row r="132" spans="1:64" ht="15.75" customHeight="1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3"/>
      <c r="X132" s="1"/>
      <c r="Y132" s="1"/>
      <c r="Z132" s="1"/>
      <c r="AA132" s="1"/>
      <c r="AB132" s="1"/>
      <c r="AC132" s="1"/>
      <c r="AD132" s="4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2"/>
      <c r="AR132" s="2"/>
      <c r="AS132" s="2"/>
      <c r="AT132" s="2"/>
      <c r="AU132" s="2"/>
      <c r="AV132" s="2"/>
      <c r="AW132" s="2"/>
      <c r="AX132" s="2"/>
      <c r="AY132" s="2"/>
      <c r="AZ132" s="2"/>
      <c r="BA132" s="2"/>
      <c r="BB132" s="2"/>
      <c r="BC132" s="2"/>
      <c r="BD132" s="2"/>
      <c r="BE132" s="2"/>
      <c r="BF132" s="2"/>
      <c r="BG132" s="2"/>
      <c r="BH132" s="2"/>
      <c r="BI132" s="2"/>
      <c r="BJ132" s="2"/>
      <c r="BK132" s="2"/>
      <c r="BL132" s="2"/>
    </row>
    <row r="133" spans="1:64" ht="15.75" customHeight="1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3"/>
      <c r="X133" s="1"/>
      <c r="Y133" s="1"/>
      <c r="Z133" s="1"/>
      <c r="AA133" s="1"/>
      <c r="AB133" s="1"/>
      <c r="AC133" s="1"/>
      <c r="AD133" s="4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2"/>
      <c r="AR133" s="2"/>
      <c r="AS133" s="2"/>
      <c r="AT133" s="2"/>
      <c r="AU133" s="2"/>
      <c r="AV133" s="2"/>
      <c r="AW133" s="2"/>
      <c r="AX133" s="2"/>
      <c r="AY133" s="2"/>
      <c r="AZ133" s="2"/>
      <c r="BA133" s="2"/>
      <c r="BB133" s="2"/>
      <c r="BC133" s="2"/>
      <c r="BD133" s="2"/>
      <c r="BE133" s="2"/>
      <c r="BF133" s="2"/>
      <c r="BG133" s="2"/>
      <c r="BH133" s="2"/>
      <c r="BI133" s="2"/>
      <c r="BJ133" s="2"/>
      <c r="BK133" s="2"/>
      <c r="BL133" s="2"/>
    </row>
    <row r="134" spans="1:64" ht="15.75" customHeight="1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3"/>
      <c r="X134" s="1"/>
      <c r="Y134" s="1"/>
      <c r="Z134" s="1"/>
      <c r="AA134" s="1"/>
      <c r="AB134" s="1"/>
      <c r="AC134" s="1"/>
      <c r="AD134" s="4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2"/>
      <c r="AR134" s="2"/>
      <c r="AS134" s="2"/>
      <c r="AT134" s="2"/>
      <c r="AU134" s="2"/>
      <c r="AV134" s="2"/>
      <c r="AW134" s="2"/>
      <c r="AX134" s="2"/>
      <c r="AY134" s="2"/>
      <c r="AZ134" s="2"/>
      <c r="BA134" s="2"/>
      <c r="BB134" s="2"/>
      <c r="BC134" s="2"/>
      <c r="BD134" s="2"/>
      <c r="BE134" s="2"/>
      <c r="BF134" s="2"/>
      <c r="BG134" s="2"/>
      <c r="BH134" s="2"/>
      <c r="BI134" s="2"/>
      <c r="BJ134" s="2"/>
      <c r="BK134" s="2"/>
      <c r="BL134" s="2"/>
    </row>
    <row r="135" spans="1:64" ht="15.75" customHeight="1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3"/>
      <c r="X135" s="1"/>
      <c r="Y135" s="1"/>
      <c r="Z135" s="1"/>
      <c r="AA135" s="1"/>
      <c r="AB135" s="1"/>
      <c r="AC135" s="1"/>
      <c r="AD135" s="4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2"/>
      <c r="AR135" s="2"/>
      <c r="AS135" s="2"/>
      <c r="AT135" s="2"/>
      <c r="AU135" s="2"/>
      <c r="AV135" s="2"/>
      <c r="AW135" s="2"/>
      <c r="AX135" s="2"/>
      <c r="AY135" s="2"/>
      <c r="AZ135" s="2"/>
      <c r="BA135" s="2"/>
      <c r="BB135" s="2"/>
      <c r="BC135" s="2"/>
      <c r="BD135" s="2"/>
      <c r="BE135" s="2"/>
      <c r="BF135" s="2"/>
      <c r="BG135" s="2"/>
      <c r="BH135" s="2"/>
      <c r="BI135" s="2"/>
      <c r="BJ135" s="2"/>
      <c r="BK135" s="2"/>
      <c r="BL135" s="2"/>
    </row>
    <row r="136" spans="1:64" ht="15.75" customHeight="1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3"/>
      <c r="X136" s="1"/>
      <c r="Y136" s="1"/>
      <c r="Z136" s="1"/>
      <c r="AA136" s="1"/>
      <c r="AB136" s="1"/>
      <c r="AC136" s="1"/>
      <c r="AD136" s="4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2"/>
      <c r="AR136" s="2"/>
      <c r="AS136" s="2"/>
      <c r="AT136" s="2"/>
      <c r="AU136" s="2"/>
      <c r="AV136" s="2"/>
      <c r="AW136" s="2"/>
      <c r="AX136" s="2"/>
      <c r="AY136" s="2"/>
      <c r="AZ136" s="2"/>
      <c r="BA136" s="2"/>
      <c r="BB136" s="2"/>
      <c r="BC136" s="2"/>
      <c r="BD136" s="2"/>
      <c r="BE136" s="2"/>
      <c r="BF136" s="2"/>
      <c r="BG136" s="2"/>
      <c r="BH136" s="2"/>
      <c r="BI136" s="2"/>
      <c r="BJ136" s="2"/>
      <c r="BK136" s="2"/>
      <c r="BL136" s="2"/>
    </row>
    <row r="137" spans="1:64" ht="15.75" customHeight="1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3"/>
      <c r="X137" s="1"/>
      <c r="Y137" s="1"/>
      <c r="Z137" s="1"/>
      <c r="AA137" s="1"/>
      <c r="AB137" s="1"/>
      <c r="AC137" s="1"/>
      <c r="AD137" s="4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2"/>
      <c r="AR137" s="2"/>
      <c r="AS137" s="2"/>
      <c r="AT137" s="2"/>
      <c r="AU137" s="2"/>
      <c r="AV137" s="2"/>
      <c r="AW137" s="2"/>
      <c r="AX137" s="2"/>
      <c r="AY137" s="2"/>
      <c r="AZ137" s="2"/>
      <c r="BA137" s="2"/>
      <c r="BB137" s="2"/>
      <c r="BC137" s="2"/>
      <c r="BD137" s="2"/>
      <c r="BE137" s="2"/>
      <c r="BF137" s="2"/>
      <c r="BG137" s="2"/>
      <c r="BH137" s="2"/>
      <c r="BI137" s="2"/>
      <c r="BJ137" s="2"/>
      <c r="BK137" s="2"/>
      <c r="BL137" s="2"/>
    </row>
    <row r="138" spans="1:64" ht="15.75" customHeight="1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3"/>
      <c r="X138" s="1"/>
      <c r="Y138" s="1"/>
      <c r="Z138" s="1"/>
      <c r="AA138" s="1"/>
      <c r="AB138" s="1"/>
      <c r="AC138" s="1"/>
      <c r="AD138" s="4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2"/>
      <c r="AR138" s="2"/>
      <c r="AS138" s="2"/>
      <c r="AT138" s="2"/>
      <c r="AU138" s="2"/>
      <c r="AV138" s="2"/>
      <c r="AW138" s="2"/>
      <c r="AX138" s="2"/>
      <c r="AY138" s="2"/>
      <c r="AZ138" s="2"/>
      <c r="BA138" s="2"/>
      <c r="BB138" s="2"/>
      <c r="BC138" s="2"/>
      <c r="BD138" s="2"/>
      <c r="BE138" s="2"/>
      <c r="BF138" s="2"/>
      <c r="BG138" s="2"/>
      <c r="BH138" s="2"/>
      <c r="BI138" s="2"/>
      <c r="BJ138" s="2"/>
      <c r="BK138" s="2"/>
      <c r="BL138" s="2"/>
    </row>
    <row r="139" spans="1:64" ht="15.75" customHeight="1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3"/>
      <c r="X139" s="1"/>
      <c r="Y139" s="1"/>
      <c r="Z139" s="1"/>
      <c r="AA139" s="1"/>
      <c r="AB139" s="1"/>
      <c r="AC139" s="1"/>
      <c r="AD139" s="4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2"/>
      <c r="AR139" s="2"/>
      <c r="AS139" s="2"/>
      <c r="AT139" s="2"/>
      <c r="AU139" s="2"/>
      <c r="AV139" s="2"/>
      <c r="AW139" s="2"/>
      <c r="AX139" s="2"/>
      <c r="AY139" s="2"/>
      <c r="AZ139" s="2"/>
      <c r="BA139" s="2"/>
      <c r="BB139" s="2"/>
      <c r="BC139" s="2"/>
      <c r="BD139" s="2"/>
      <c r="BE139" s="2"/>
      <c r="BF139" s="2"/>
      <c r="BG139" s="2"/>
      <c r="BH139" s="2"/>
      <c r="BI139" s="2"/>
      <c r="BJ139" s="2"/>
      <c r="BK139" s="2"/>
      <c r="BL139" s="2"/>
    </row>
    <row r="140" spans="1:64" ht="15.75" customHeight="1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3"/>
      <c r="X140" s="1"/>
      <c r="Y140" s="1"/>
      <c r="Z140" s="1"/>
      <c r="AA140" s="1"/>
      <c r="AB140" s="1"/>
      <c r="AC140" s="1"/>
      <c r="AD140" s="4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2"/>
      <c r="AR140" s="2"/>
      <c r="AS140" s="2"/>
      <c r="AT140" s="2"/>
      <c r="AU140" s="2"/>
      <c r="AV140" s="2"/>
      <c r="AW140" s="2"/>
      <c r="AX140" s="2"/>
      <c r="AY140" s="2"/>
      <c r="AZ140" s="2"/>
      <c r="BA140" s="2"/>
      <c r="BB140" s="2"/>
      <c r="BC140" s="2"/>
      <c r="BD140" s="2"/>
      <c r="BE140" s="2"/>
      <c r="BF140" s="2"/>
      <c r="BG140" s="2"/>
      <c r="BH140" s="2"/>
      <c r="BI140" s="2"/>
      <c r="BJ140" s="2"/>
      <c r="BK140" s="2"/>
      <c r="BL140" s="2"/>
    </row>
    <row r="141" spans="1:64" ht="15.75" customHeight="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3"/>
      <c r="X141" s="1"/>
      <c r="Y141" s="1"/>
      <c r="Z141" s="1"/>
      <c r="AA141" s="1"/>
      <c r="AB141" s="1"/>
      <c r="AC141" s="1"/>
      <c r="AD141" s="4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2"/>
      <c r="AR141" s="2"/>
      <c r="AS141" s="2"/>
      <c r="AT141" s="2"/>
      <c r="AU141" s="2"/>
      <c r="AV141" s="2"/>
      <c r="AW141" s="2"/>
      <c r="AX141" s="2"/>
      <c r="AY141" s="2"/>
      <c r="AZ141" s="2"/>
      <c r="BA141" s="2"/>
      <c r="BB141" s="2"/>
      <c r="BC141" s="2"/>
      <c r="BD141" s="2"/>
      <c r="BE141" s="2"/>
      <c r="BF141" s="2"/>
      <c r="BG141" s="2"/>
      <c r="BH141" s="2"/>
      <c r="BI141" s="2"/>
      <c r="BJ141" s="2"/>
      <c r="BK141" s="2"/>
      <c r="BL141" s="2"/>
    </row>
    <row r="142" spans="1:64" ht="15.75" customHeight="1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3"/>
      <c r="X142" s="1"/>
      <c r="Y142" s="1"/>
      <c r="Z142" s="1"/>
      <c r="AA142" s="1"/>
      <c r="AB142" s="1"/>
      <c r="AC142" s="1"/>
      <c r="AD142" s="4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2"/>
      <c r="AR142" s="2"/>
      <c r="AS142" s="2"/>
      <c r="AT142" s="2"/>
      <c r="AU142" s="2"/>
      <c r="AV142" s="2"/>
      <c r="AW142" s="2"/>
      <c r="AX142" s="2"/>
      <c r="AY142" s="2"/>
      <c r="AZ142" s="2"/>
      <c r="BA142" s="2"/>
      <c r="BB142" s="2"/>
      <c r="BC142" s="2"/>
      <c r="BD142" s="2"/>
      <c r="BE142" s="2"/>
      <c r="BF142" s="2"/>
      <c r="BG142" s="2"/>
      <c r="BH142" s="2"/>
      <c r="BI142" s="2"/>
      <c r="BJ142" s="2"/>
      <c r="BK142" s="2"/>
      <c r="BL142" s="2"/>
    </row>
    <row r="143" spans="1:64" ht="15.75" customHeight="1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3"/>
      <c r="X143" s="1"/>
      <c r="Y143" s="1"/>
      <c r="Z143" s="1"/>
      <c r="AA143" s="1"/>
      <c r="AB143" s="1"/>
      <c r="AC143" s="1"/>
      <c r="AD143" s="4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2"/>
      <c r="AR143" s="2"/>
      <c r="AS143" s="2"/>
      <c r="AT143" s="2"/>
      <c r="AU143" s="2"/>
      <c r="AV143" s="2"/>
      <c r="AW143" s="2"/>
      <c r="AX143" s="2"/>
      <c r="AY143" s="2"/>
      <c r="AZ143" s="2"/>
      <c r="BA143" s="2"/>
      <c r="BB143" s="2"/>
      <c r="BC143" s="2"/>
      <c r="BD143" s="2"/>
      <c r="BE143" s="2"/>
      <c r="BF143" s="2"/>
      <c r="BG143" s="2"/>
      <c r="BH143" s="2"/>
      <c r="BI143" s="2"/>
      <c r="BJ143" s="2"/>
      <c r="BK143" s="2"/>
      <c r="BL143" s="2"/>
    </row>
    <row r="144" spans="1:64" ht="15.75" customHeight="1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3"/>
      <c r="X144" s="1"/>
      <c r="Y144" s="1"/>
      <c r="Z144" s="1"/>
      <c r="AA144" s="1"/>
      <c r="AB144" s="1"/>
      <c r="AC144" s="1"/>
      <c r="AD144" s="4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2"/>
      <c r="AR144" s="2"/>
      <c r="AS144" s="2"/>
      <c r="AT144" s="2"/>
      <c r="AU144" s="2"/>
      <c r="AV144" s="2"/>
      <c r="AW144" s="2"/>
      <c r="AX144" s="2"/>
      <c r="AY144" s="2"/>
      <c r="AZ144" s="2"/>
      <c r="BA144" s="2"/>
      <c r="BB144" s="2"/>
      <c r="BC144" s="2"/>
      <c r="BD144" s="2"/>
      <c r="BE144" s="2"/>
      <c r="BF144" s="2"/>
      <c r="BG144" s="2"/>
      <c r="BH144" s="2"/>
      <c r="BI144" s="2"/>
      <c r="BJ144" s="2"/>
      <c r="BK144" s="2"/>
      <c r="BL144" s="2"/>
    </row>
    <row r="145" spans="1:64" ht="15.75" customHeight="1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3"/>
      <c r="X145" s="1"/>
      <c r="Y145" s="1"/>
      <c r="Z145" s="1"/>
      <c r="AA145" s="1"/>
      <c r="AB145" s="1"/>
      <c r="AC145" s="1"/>
      <c r="AD145" s="4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2"/>
      <c r="AR145" s="2"/>
      <c r="AS145" s="2"/>
      <c r="AT145" s="2"/>
      <c r="AU145" s="2"/>
      <c r="AV145" s="2"/>
      <c r="AW145" s="2"/>
      <c r="AX145" s="2"/>
      <c r="AY145" s="2"/>
      <c r="AZ145" s="2"/>
      <c r="BA145" s="2"/>
      <c r="BB145" s="2"/>
      <c r="BC145" s="2"/>
      <c r="BD145" s="2"/>
      <c r="BE145" s="2"/>
      <c r="BF145" s="2"/>
      <c r="BG145" s="2"/>
      <c r="BH145" s="2"/>
      <c r="BI145" s="2"/>
      <c r="BJ145" s="2"/>
      <c r="BK145" s="2"/>
      <c r="BL145" s="2"/>
    </row>
    <row r="146" spans="1:64" ht="15.75" customHeight="1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3"/>
      <c r="X146" s="1"/>
      <c r="Y146" s="1"/>
      <c r="Z146" s="1"/>
      <c r="AA146" s="1"/>
      <c r="AB146" s="1"/>
      <c r="AC146" s="1"/>
      <c r="AD146" s="4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2"/>
      <c r="AR146" s="2"/>
      <c r="AS146" s="2"/>
      <c r="AT146" s="2"/>
      <c r="AU146" s="2"/>
      <c r="AV146" s="2"/>
      <c r="AW146" s="2"/>
      <c r="AX146" s="2"/>
      <c r="AY146" s="2"/>
      <c r="AZ146" s="2"/>
      <c r="BA146" s="2"/>
      <c r="BB146" s="2"/>
      <c r="BC146" s="2"/>
      <c r="BD146" s="2"/>
      <c r="BE146" s="2"/>
      <c r="BF146" s="2"/>
      <c r="BG146" s="2"/>
      <c r="BH146" s="2"/>
      <c r="BI146" s="2"/>
      <c r="BJ146" s="2"/>
      <c r="BK146" s="2"/>
      <c r="BL146" s="2"/>
    </row>
    <row r="147" spans="1:64" ht="15.75" customHeight="1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3"/>
      <c r="X147" s="1"/>
      <c r="Y147" s="1"/>
      <c r="Z147" s="1"/>
      <c r="AA147" s="1"/>
      <c r="AB147" s="1"/>
      <c r="AC147" s="1"/>
      <c r="AD147" s="4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2"/>
      <c r="AR147" s="2"/>
      <c r="AS147" s="2"/>
      <c r="AT147" s="2"/>
      <c r="AU147" s="2"/>
      <c r="AV147" s="2"/>
      <c r="AW147" s="2"/>
      <c r="AX147" s="2"/>
      <c r="AY147" s="2"/>
      <c r="AZ147" s="2"/>
      <c r="BA147" s="2"/>
      <c r="BB147" s="2"/>
      <c r="BC147" s="2"/>
      <c r="BD147" s="2"/>
      <c r="BE147" s="2"/>
      <c r="BF147" s="2"/>
      <c r="BG147" s="2"/>
      <c r="BH147" s="2"/>
      <c r="BI147" s="2"/>
      <c r="BJ147" s="2"/>
      <c r="BK147" s="2"/>
      <c r="BL147" s="2"/>
    </row>
    <row r="148" spans="1:64" ht="15.75" customHeight="1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3"/>
      <c r="X148" s="1"/>
      <c r="Y148" s="1"/>
      <c r="Z148" s="1"/>
      <c r="AA148" s="1"/>
      <c r="AB148" s="1"/>
      <c r="AC148" s="1"/>
      <c r="AD148" s="4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2"/>
      <c r="AR148" s="2"/>
      <c r="AS148" s="2"/>
      <c r="AT148" s="2"/>
      <c r="AU148" s="2"/>
      <c r="AV148" s="2"/>
      <c r="AW148" s="2"/>
      <c r="AX148" s="2"/>
      <c r="AY148" s="2"/>
      <c r="AZ148" s="2"/>
      <c r="BA148" s="2"/>
      <c r="BB148" s="2"/>
      <c r="BC148" s="2"/>
      <c r="BD148" s="2"/>
      <c r="BE148" s="2"/>
      <c r="BF148" s="2"/>
      <c r="BG148" s="2"/>
      <c r="BH148" s="2"/>
      <c r="BI148" s="2"/>
      <c r="BJ148" s="2"/>
      <c r="BK148" s="2"/>
      <c r="BL148" s="2"/>
    </row>
    <row r="149" spans="1:64" ht="15.75" customHeight="1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3"/>
      <c r="X149" s="1"/>
      <c r="Y149" s="1"/>
      <c r="Z149" s="1"/>
      <c r="AA149" s="1"/>
      <c r="AB149" s="1"/>
      <c r="AC149" s="1"/>
      <c r="AD149" s="4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2"/>
      <c r="AR149" s="2"/>
      <c r="AS149" s="2"/>
      <c r="AT149" s="2"/>
      <c r="AU149" s="2"/>
      <c r="AV149" s="2"/>
      <c r="AW149" s="2"/>
      <c r="AX149" s="2"/>
      <c r="AY149" s="2"/>
      <c r="AZ149" s="2"/>
      <c r="BA149" s="2"/>
      <c r="BB149" s="2"/>
      <c r="BC149" s="2"/>
      <c r="BD149" s="2"/>
      <c r="BE149" s="2"/>
      <c r="BF149" s="2"/>
      <c r="BG149" s="2"/>
      <c r="BH149" s="2"/>
      <c r="BI149" s="2"/>
      <c r="BJ149" s="2"/>
      <c r="BK149" s="2"/>
      <c r="BL149" s="2"/>
    </row>
    <row r="150" spans="1:64" ht="15.75" customHeight="1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3"/>
      <c r="X150" s="1"/>
      <c r="Y150" s="1"/>
      <c r="Z150" s="1"/>
      <c r="AA150" s="1"/>
      <c r="AB150" s="1"/>
      <c r="AC150" s="1"/>
      <c r="AD150" s="4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2"/>
      <c r="AR150" s="2"/>
      <c r="AS150" s="2"/>
      <c r="AT150" s="2"/>
      <c r="AU150" s="2"/>
      <c r="AV150" s="2"/>
      <c r="AW150" s="2"/>
      <c r="AX150" s="2"/>
      <c r="AY150" s="2"/>
      <c r="AZ150" s="2"/>
      <c r="BA150" s="2"/>
      <c r="BB150" s="2"/>
      <c r="BC150" s="2"/>
      <c r="BD150" s="2"/>
      <c r="BE150" s="2"/>
      <c r="BF150" s="2"/>
      <c r="BG150" s="2"/>
      <c r="BH150" s="2"/>
      <c r="BI150" s="2"/>
      <c r="BJ150" s="2"/>
      <c r="BK150" s="2"/>
      <c r="BL150" s="2"/>
    </row>
    <row r="151" spans="1:64" ht="15.75" customHeight="1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3"/>
      <c r="X151" s="1"/>
      <c r="Y151" s="1"/>
      <c r="Z151" s="1"/>
      <c r="AA151" s="1"/>
      <c r="AB151" s="1"/>
      <c r="AC151" s="1"/>
      <c r="AD151" s="4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2"/>
      <c r="AR151" s="2"/>
      <c r="AS151" s="2"/>
      <c r="AT151" s="2"/>
      <c r="AU151" s="2"/>
      <c r="AV151" s="2"/>
      <c r="AW151" s="2"/>
      <c r="AX151" s="2"/>
      <c r="AY151" s="2"/>
      <c r="AZ151" s="2"/>
      <c r="BA151" s="2"/>
      <c r="BB151" s="2"/>
      <c r="BC151" s="2"/>
      <c r="BD151" s="2"/>
      <c r="BE151" s="2"/>
      <c r="BF151" s="2"/>
      <c r="BG151" s="2"/>
      <c r="BH151" s="2"/>
      <c r="BI151" s="2"/>
      <c r="BJ151" s="2"/>
      <c r="BK151" s="2"/>
      <c r="BL151" s="2"/>
    </row>
    <row r="152" spans="1:64" ht="15.75" customHeight="1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3"/>
      <c r="X152" s="1"/>
      <c r="Y152" s="1"/>
      <c r="Z152" s="1"/>
      <c r="AA152" s="1"/>
      <c r="AB152" s="1"/>
      <c r="AC152" s="1"/>
      <c r="AD152" s="4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</row>
    <row r="153" spans="1:64" ht="15.75" customHeight="1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3"/>
      <c r="X153" s="1"/>
      <c r="Y153" s="1"/>
      <c r="Z153" s="1"/>
      <c r="AA153" s="1"/>
      <c r="AB153" s="1"/>
      <c r="AC153" s="1"/>
      <c r="AD153" s="4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</row>
    <row r="154" spans="1:64" ht="15.75" customHeight="1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3"/>
      <c r="X154" s="1"/>
      <c r="Y154" s="1"/>
      <c r="Z154" s="1"/>
      <c r="AA154" s="1"/>
      <c r="AB154" s="1"/>
      <c r="AC154" s="1"/>
      <c r="AD154" s="4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</row>
    <row r="155" spans="1:64" ht="15.75" customHeight="1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3"/>
      <c r="X155" s="1"/>
      <c r="Y155" s="1"/>
      <c r="Z155" s="1"/>
      <c r="AA155" s="1"/>
      <c r="AB155" s="1"/>
      <c r="AC155" s="1"/>
      <c r="AD155" s="4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</row>
    <row r="156" spans="1:64" ht="15.75" customHeight="1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3"/>
      <c r="X156" s="1"/>
      <c r="Y156" s="1"/>
      <c r="Z156" s="1"/>
      <c r="AA156" s="1"/>
      <c r="AB156" s="1"/>
      <c r="AC156" s="1"/>
      <c r="AD156" s="4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</row>
    <row r="157" spans="1:64" ht="15.75" customHeight="1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3"/>
      <c r="X157" s="1"/>
      <c r="Y157" s="1"/>
      <c r="Z157" s="1"/>
      <c r="AA157" s="1"/>
      <c r="AB157" s="1"/>
      <c r="AC157" s="1"/>
      <c r="AD157" s="4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</row>
    <row r="158" spans="1:64" ht="15.75" customHeight="1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3"/>
      <c r="X158" s="1"/>
      <c r="Y158" s="1"/>
      <c r="Z158" s="1"/>
      <c r="AA158" s="1"/>
      <c r="AB158" s="1"/>
      <c r="AC158" s="1"/>
      <c r="AD158" s="4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</row>
    <row r="159" spans="1:64" ht="15.75" customHeight="1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3"/>
      <c r="X159" s="1"/>
      <c r="Y159" s="1"/>
      <c r="Z159" s="1"/>
      <c r="AA159" s="1"/>
      <c r="AB159" s="1"/>
      <c r="AC159" s="1"/>
      <c r="AD159" s="4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</row>
    <row r="160" spans="1:64" ht="15.75" customHeight="1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3"/>
      <c r="X160" s="1"/>
      <c r="Y160" s="1"/>
      <c r="Z160" s="1"/>
      <c r="AA160" s="1"/>
      <c r="AB160" s="1"/>
      <c r="AC160" s="1"/>
      <c r="AD160" s="4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</row>
    <row r="161" spans="1:64" ht="15.75" customHeight="1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3"/>
      <c r="X161" s="1"/>
      <c r="Y161" s="1"/>
      <c r="Z161" s="1"/>
      <c r="AA161" s="1"/>
      <c r="AB161" s="1"/>
      <c r="AC161" s="1"/>
      <c r="AD161" s="4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</row>
    <row r="162" spans="1:64" ht="15.75" customHeight="1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3"/>
      <c r="X162" s="1"/>
      <c r="Y162" s="1"/>
      <c r="Z162" s="1"/>
      <c r="AA162" s="1"/>
      <c r="AB162" s="1"/>
      <c r="AC162" s="1"/>
      <c r="AD162" s="4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</row>
    <row r="163" spans="1:64" ht="15.75" customHeight="1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3"/>
      <c r="X163" s="1"/>
      <c r="Y163" s="1"/>
      <c r="Z163" s="1"/>
      <c r="AA163" s="1"/>
      <c r="AB163" s="1"/>
      <c r="AC163" s="1"/>
      <c r="AD163" s="4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</row>
    <row r="164" spans="1:64" ht="15.75" customHeight="1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3"/>
      <c r="X164" s="1"/>
      <c r="Y164" s="1"/>
      <c r="Z164" s="1"/>
      <c r="AA164" s="1"/>
      <c r="AB164" s="1"/>
      <c r="AC164" s="1"/>
      <c r="AD164" s="4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</row>
    <row r="165" spans="1:64" ht="15.75" customHeight="1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3"/>
      <c r="X165" s="1"/>
      <c r="Y165" s="1"/>
      <c r="Z165" s="1"/>
      <c r="AA165" s="1"/>
      <c r="AB165" s="1"/>
      <c r="AC165" s="1"/>
      <c r="AD165" s="4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</row>
    <row r="166" spans="1:64" ht="15.75" customHeight="1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3"/>
      <c r="X166" s="1"/>
      <c r="Y166" s="1"/>
      <c r="Z166" s="1"/>
      <c r="AA166" s="1"/>
      <c r="AB166" s="1"/>
      <c r="AC166" s="1"/>
      <c r="AD166" s="4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</row>
    <row r="167" spans="1:64" ht="15.75" customHeight="1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3"/>
      <c r="X167" s="1"/>
      <c r="Y167" s="1"/>
      <c r="Z167" s="1"/>
      <c r="AA167" s="1"/>
      <c r="AB167" s="1"/>
      <c r="AC167" s="1"/>
      <c r="AD167" s="4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</row>
    <row r="168" spans="1:64" ht="15.75" customHeight="1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3"/>
      <c r="X168" s="1"/>
      <c r="Y168" s="1"/>
      <c r="Z168" s="1"/>
      <c r="AA168" s="1"/>
      <c r="AB168" s="1"/>
      <c r="AC168" s="1"/>
      <c r="AD168" s="4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</row>
    <row r="169" spans="1:64" ht="15.75" customHeight="1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3"/>
      <c r="X169" s="1"/>
      <c r="Y169" s="1"/>
      <c r="Z169" s="1"/>
      <c r="AA169" s="1"/>
      <c r="AB169" s="1"/>
      <c r="AC169" s="1"/>
      <c r="AD169" s="4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</row>
    <row r="170" spans="1:64" ht="15.75" customHeight="1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3"/>
      <c r="X170" s="1"/>
      <c r="Y170" s="1"/>
      <c r="Z170" s="1"/>
      <c r="AA170" s="1"/>
      <c r="AB170" s="1"/>
      <c r="AC170" s="1"/>
      <c r="AD170" s="4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</row>
    <row r="171" spans="1:64" ht="15.75" customHeight="1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3"/>
      <c r="X171" s="1"/>
      <c r="Y171" s="1"/>
      <c r="Z171" s="1"/>
      <c r="AA171" s="1"/>
      <c r="AB171" s="1"/>
      <c r="AC171" s="1"/>
      <c r="AD171" s="4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</row>
    <row r="172" spans="1:64" ht="15.75" customHeight="1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3"/>
      <c r="X172" s="1"/>
      <c r="Y172" s="1"/>
      <c r="Z172" s="1"/>
      <c r="AA172" s="1"/>
      <c r="AB172" s="1"/>
      <c r="AC172" s="1"/>
      <c r="AD172" s="4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</row>
    <row r="173" spans="1:64" ht="15.75" customHeight="1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3"/>
      <c r="X173" s="1"/>
      <c r="Y173" s="1"/>
      <c r="Z173" s="1"/>
      <c r="AA173" s="1"/>
      <c r="AB173" s="1"/>
      <c r="AC173" s="1"/>
      <c r="AD173" s="4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</row>
    <row r="174" spans="1:64" ht="15.75" customHeight="1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3"/>
      <c r="X174" s="1"/>
      <c r="Y174" s="1"/>
      <c r="Z174" s="1"/>
      <c r="AA174" s="1"/>
      <c r="AB174" s="1"/>
      <c r="AC174" s="1"/>
      <c r="AD174" s="4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</row>
    <row r="175" spans="1:64" ht="15.75" customHeight="1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3"/>
      <c r="X175" s="1"/>
      <c r="Y175" s="1"/>
      <c r="Z175" s="1"/>
      <c r="AA175" s="1"/>
      <c r="AB175" s="1"/>
      <c r="AC175" s="1"/>
      <c r="AD175" s="4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</row>
    <row r="176" spans="1:64" ht="15.75" customHeight="1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3"/>
      <c r="X176" s="1"/>
      <c r="Y176" s="1"/>
      <c r="Z176" s="1"/>
      <c r="AA176" s="1"/>
      <c r="AB176" s="1"/>
      <c r="AC176" s="1"/>
      <c r="AD176" s="4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</row>
    <row r="177" spans="1:64" ht="15.75" customHeight="1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3"/>
      <c r="X177" s="1"/>
      <c r="Y177" s="1"/>
      <c r="Z177" s="1"/>
      <c r="AA177" s="1"/>
      <c r="AB177" s="1"/>
      <c r="AC177" s="1"/>
      <c r="AD177" s="4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</row>
    <row r="178" spans="1:64" ht="15.75" customHeight="1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3"/>
      <c r="X178" s="1"/>
      <c r="Y178" s="1"/>
      <c r="Z178" s="1"/>
      <c r="AA178" s="1"/>
      <c r="AB178" s="1"/>
      <c r="AC178" s="1"/>
      <c r="AD178" s="4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</row>
    <row r="179" spans="1:64" ht="15.75" customHeight="1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3"/>
      <c r="X179" s="1"/>
      <c r="Y179" s="1"/>
      <c r="Z179" s="1"/>
      <c r="AA179" s="1"/>
      <c r="AB179" s="1"/>
      <c r="AC179" s="1"/>
      <c r="AD179" s="4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</row>
    <row r="180" spans="1:64" ht="15.75" customHeight="1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3"/>
      <c r="X180" s="1"/>
      <c r="Y180" s="1"/>
      <c r="Z180" s="1"/>
      <c r="AA180" s="1"/>
      <c r="AB180" s="1"/>
      <c r="AC180" s="1"/>
      <c r="AD180" s="4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</row>
    <row r="181" spans="1:64" ht="15.75" customHeight="1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3"/>
      <c r="X181" s="1"/>
      <c r="Y181" s="1"/>
      <c r="Z181" s="1"/>
      <c r="AA181" s="1"/>
      <c r="AB181" s="1"/>
      <c r="AC181" s="1"/>
      <c r="AD181" s="4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</row>
    <row r="182" spans="1:64" ht="15.75" customHeight="1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3"/>
      <c r="X182" s="1"/>
      <c r="Y182" s="1"/>
      <c r="Z182" s="1"/>
      <c r="AA182" s="1"/>
      <c r="AB182" s="1"/>
      <c r="AC182" s="1"/>
      <c r="AD182" s="4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</row>
    <row r="183" spans="1:64" ht="15.75" customHeight="1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3"/>
      <c r="X183" s="1"/>
      <c r="Y183" s="1"/>
      <c r="Z183" s="1"/>
      <c r="AA183" s="1"/>
      <c r="AB183" s="1"/>
      <c r="AC183" s="1"/>
      <c r="AD183" s="4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</row>
    <row r="184" spans="1:64" ht="15.75" customHeight="1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3"/>
      <c r="X184" s="1"/>
      <c r="Y184" s="1"/>
      <c r="Z184" s="1"/>
      <c r="AA184" s="1"/>
      <c r="AB184" s="1"/>
      <c r="AC184" s="1"/>
      <c r="AD184" s="4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</row>
    <row r="185" spans="1:64" ht="15.75" customHeight="1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3"/>
      <c r="X185" s="1"/>
      <c r="Y185" s="1"/>
      <c r="Z185" s="1"/>
      <c r="AA185" s="1"/>
      <c r="AB185" s="1"/>
      <c r="AC185" s="1"/>
      <c r="AD185" s="4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</row>
    <row r="186" spans="1:64" ht="15.75" customHeight="1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3"/>
      <c r="X186" s="1"/>
      <c r="Y186" s="1"/>
      <c r="Z186" s="1"/>
      <c r="AA186" s="1"/>
      <c r="AB186" s="1"/>
      <c r="AC186" s="1"/>
      <c r="AD186" s="4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</row>
    <row r="187" spans="1:64" ht="15.75" customHeight="1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3"/>
      <c r="X187" s="1"/>
      <c r="Y187" s="1"/>
      <c r="Z187" s="1"/>
      <c r="AA187" s="1"/>
      <c r="AB187" s="1"/>
      <c r="AC187" s="1"/>
      <c r="AD187" s="4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</row>
    <row r="188" spans="1:64" ht="15.75" customHeight="1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3"/>
      <c r="X188" s="1"/>
      <c r="Y188" s="1"/>
      <c r="Z188" s="1"/>
      <c r="AA188" s="1"/>
      <c r="AB188" s="1"/>
      <c r="AC188" s="1"/>
      <c r="AD188" s="4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</row>
    <row r="189" spans="1:64" ht="15.75" customHeight="1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3"/>
      <c r="X189" s="1"/>
      <c r="Y189" s="1"/>
      <c r="Z189" s="1"/>
      <c r="AA189" s="1"/>
      <c r="AB189" s="1"/>
      <c r="AC189" s="1"/>
      <c r="AD189" s="4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</row>
    <row r="190" spans="1:64" ht="15.75" customHeight="1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3"/>
      <c r="X190" s="1"/>
      <c r="Y190" s="1"/>
      <c r="Z190" s="1"/>
      <c r="AA190" s="1"/>
      <c r="AB190" s="1"/>
      <c r="AC190" s="1"/>
      <c r="AD190" s="4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</row>
    <row r="191" spans="1:64" ht="15.75" customHeight="1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3"/>
      <c r="X191" s="1"/>
      <c r="Y191" s="1"/>
      <c r="Z191" s="1"/>
      <c r="AA191" s="1"/>
      <c r="AB191" s="1"/>
      <c r="AC191" s="1"/>
      <c r="AD191" s="4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</row>
    <row r="192" spans="1:64" ht="15.75" customHeight="1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3"/>
      <c r="X192" s="1"/>
      <c r="Y192" s="1"/>
      <c r="Z192" s="1"/>
      <c r="AA192" s="1"/>
      <c r="AB192" s="1"/>
      <c r="AC192" s="1"/>
      <c r="AD192" s="4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</row>
    <row r="193" spans="1:64" ht="15.75" customHeight="1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3"/>
      <c r="X193" s="1"/>
      <c r="Y193" s="1"/>
      <c r="Z193" s="1"/>
      <c r="AA193" s="1"/>
      <c r="AB193" s="1"/>
      <c r="AC193" s="1"/>
      <c r="AD193" s="4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</row>
    <row r="194" spans="1:64" ht="15.75" customHeight="1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3"/>
      <c r="X194" s="1"/>
      <c r="Y194" s="1"/>
      <c r="Z194" s="1"/>
      <c r="AA194" s="1"/>
      <c r="AB194" s="1"/>
      <c r="AC194" s="1"/>
      <c r="AD194" s="4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</row>
    <row r="195" spans="1:64" ht="15.75" customHeight="1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3"/>
      <c r="X195" s="1"/>
      <c r="Y195" s="1"/>
      <c r="Z195" s="1"/>
      <c r="AA195" s="1"/>
      <c r="AB195" s="1"/>
      <c r="AC195" s="1"/>
      <c r="AD195" s="4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</row>
    <row r="196" spans="1:64" ht="15.75" customHeight="1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3"/>
      <c r="X196" s="1"/>
      <c r="Y196" s="1"/>
      <c r="Z196" s="1"/>
      <c r="AA196" s="1"/>
      <c r="AB196" s="1"/>
      <c r="AC196" s="1"/>
      <c r="AD196" s="4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</row>
    <row r="197" spans="1:64" ht="15.75" customHeight="1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3"/>
      <c r="X197" s="1"/>
      <c r="Y197" s="1"/>
      <c r="Z197" s="1"/>
      <c r="AA197" s="1"/>
      <c r="AB197" s="1"/>
      <c r="AC197" s="1"/>
      <c r="AD197" s="4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</row>
    <row r="198" spans="1:64" ht="15.75" customHeight="1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3"/>
      <c r="X198" s="1"/>
      <c r="Y198" s="1"/>
      <c r="Z198" s="1"/>
      <c r="AA198" s="1"/>
      <c r="AB198" s="1"/>
      <c r="AC198" s="1"/>
      <c r="AD198" s="4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</row>
    <row r="199" spans="1:64" ht="15.75" customHeight="1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3"/>
      <c r="X199" s="1"/>
      <c r="Y199" s="1"/>
      <c r="Z199" s="1"/>
      <c r="AA199" s="1"/>
      <c r="AB199" s="1"/>
      <c r="AC199" s="1"/>
      <c r="AD199" s="4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</row>
    <row r="200" spans="1:64" ht="15.75" customHeight="1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3"/>
      <c r="X200" s="1"/>
      <c r="Y200" s="1"/>
      <c r="Z200" s="1"/>
      <c r="AA200" s="1"/>
      <c r="AB200" s="1"/>
      <c r="AC200" s="1"/>
      <c r="AD200" s="4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</row>
    <row r="201" spans="1:64" ht="15.75" customHeight="1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3"/>
      <c r="X201" s="1"/>
      <c r="Y201" s="1"/>
      <c r="Z201" s="1"/>
      <c r="AA201" s="1"/>
      <c r="AB201" s="1"/>
      <c r="AC201" s="1"/>
      <c r="AD201" s="4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</row>
    <row r="202" spans="1:64" ht="15.75" customHeight="1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3"/>
      <c r="X202" s="1"/>
      <c r="Y202" s="1"/>
      <c r="Z202" s="1"/>
      <c r="AA202" s="1"/>
      <c r="AB202" s="1"/>
      <c r="AC202" s="1"/>
      <c r="AD202" s="4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</row>
    <row r="203" spans="1:64" ht="15.75" customHeight="1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3"/>
      <c r="X203" s="1"/>
      <c r="Y203" s="1"/>
      <c r="Z203" s="1"/>
      <c r="AA203" s="1"/>
      <c r="AB203" s="1"/>
      <c r="AC203" s="1"/>
      <c r="AD203" s="4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</row>
    <row r="204" spans="1:64" ht="15.75" customHeight="1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3"/>
      <c r="X204" s="1"/>
      <c r="Y204" s="1"/>
      <c r="Z204" s="1"/>
      <c r="AA204" s="1"/>
      <c r="AB204" s="1"/>
      <c r="AC204" s="1"/>
      <c r="AD204" s="4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</row>
    <row r="205" spans="1:64" ht="15.75" customHeight="1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3"/>
      <c r="X205" s="1"/>
      <c r="Y205" s="1"/>
      <c r="Z205" s="1"/>
      <c r="AA205" s="1"/>
      <c r="AB205" s="1"/>
      <c r="AC205" s="1"/>
      <c r="AD205" s="4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</row>
    <row r="206" spans="1:64" ht="15.75" customHeight="1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3"/>
      <c r="X206" s="1"/>
      <c r="Y206" s="1"/>
      <c r="Z206" s="1"/>
      <c r="AA206" s="1"/>
      <c r="AB206" s="1"/>
      <c r="AC206" s="1"/>
      <c r="AD206" s="4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</row>
    <row r="207" spans="1:64" ht="15.75" customHeight="1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3"/>
      <c r="X207" s="1"/>
      <c r="Y207" s="1"/>
      <c r="Z207" s="1"/>
      <c r="AA207" s="1"/>
      <c r="AB207" s="1"/>
      <c r="AC207" s="1"/>
      <c r="AD207" s="4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</row>
    <row r="208" spans="1:64" ht="15.75" customHeight="1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3"/>
      <c r="X208" s="1"/>
      <c r="Y208" s="1"/>
      <c r="Z208" s="1"/>
      <c r="AA208" s="1"/>
      <c r="AB208" s="1"/>
      <c r="AC208" s="1"/>
      <c r="AD208" s="4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</row>
    <row r="209" spans="1:64" ht="15.75" customHeight="1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3"/>
      <c r="X209" s="1"/>
      <c r="Y209" s="1"/>
      <c r="Z209" s="1"/>
      <c r="AA209" s="1"/>
      <c r="AB209" s="1"/>
      <c r="AC209" s="1"/>
      <c r="AD209" s="4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</row>
    <row r="210" spans="1:64" ht="15.75" customHeight="1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3"/>
      <c r="X210" s="1"/>
      <c r="Y210" s="1"/>
      <c r="Z210" s="1"/>
      <c r="AA210" s="1"/>
      <c r="AB210" s="1"/>
      <c r="AC210" s="1"/>
      <c r="AD210" s="4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</row>
    <row r="211" spans="1:64" ht="15.75" customHeight="1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3"/>
      <c r="X211" s="1"/>
      <c r="Y211" s="1"/>
      <c r="Z211" s="1"/>
      <c r="AA211" s="1"/>
      <c r="AB211" s="1"/>
      <c r="AC211" s="1"/>
      <c r="AD211" s="4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</row>
    <row r="212" spans="1:64" ht="15.75" customHeight="1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3"/>
      <c r="X212" s="1"/>
      <c r="Y212" s="1"/>
      <c r="Z212" s="1"/>
      <c r="AA212" s="1"/>
      <c r="AB212" s="1"/>
      <c r="AC212" s="1"/>
      <c r="AD212" s="4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</row>
    <row r="213" spans="1:64" ht="15.75" customHeight="1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3"/>
      <c r="X213" s="1"/>
      <c r="Y213" s="1"/>
      <c r="Z213" s="1"/>
      <c r="AA213" s="1"/>
      <c r="AB213" s="1"/>
      <c r="AC213" s="1"/>
      <c r="AD213" s="4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</row>
    <row r="214" spans="1:64" ht="15.75" customHeight="1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3"/>
      <c r="X214" s="1"/>
      <c r="Y214" s="1"/>
      <c r="Z214" s="1"/>
      <c r="AA214" s="1"/>
      <c r="AB214" s="1"/>
      <c r="AC214" s="1"/>
      <c r="AD214" s="4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</row>
    <row r="215" spans="1:64" ht="15.75" customHeight="1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3"/>
      <c r="X215" s="1"/>
      <c r="Y215" s="1"/>
      <c r="Z215" s="1"/>
      <c r="AA215" s="1"/>
      <c r="AB215" s="1"/>
      <c r="AC215" s="1"/>
      <c r="AD215" s="4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</row>
    <row r="216" spans="1:64" ht="15.75" customHeight="1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3"/>
      <c r="X216" s="1"/>
      <c r="Y216" s="1"/>
      <c r="Z216" s="1"/>
      <c r="AA216" s="1"/>
      <c r="AB216" s="1"/>
      <c r="AC216" s="1"/>
      <c r="AD216" s="4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</row>
    <row r="217" spans="1:64" ht="15.75" customHeight="1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3"/>
      <c r="X217" s="1"/>
      <c r="Y217" s="1"/>
      <c r="Z217" s="1"/>
      <c r="AA217" s="1"/>
      <c r="AB217" s="1"/>
      <c r="AC217" s="1"/>
      <c r="AD217" s="4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</row>
    <row r="218" spans="1:64" ht="15.75" customHeight="1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3"/>
      <c r="X218" s="1"/>
      <c r="Y218" s="1"/>
      <c r="Z218" s="1"/>
      <c r="AA218" s="1"/>
      <c r="AB218" s="1"/>
      <c r="AC218" s="1"/>
      <c r="AD218" s="4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</row>
    <row r="219" spans="1:64" ht="15.75" customHeight="1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3"/>
      <c r="X219" s="1"/>
      <c r="Y219" s="1"/>
      <c r="Z219" s="1"/>
      <c r="AA219" s="1"/>
      <c r="AB219" s="1"/>
      <c r="AC219" s="1"/>
      <c r="AD219" s="4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</row>
    <row r="220" spans="1:64" ht="15.75" customHeight="1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3"/>
      <c r="X220" s="1"/>
      <c r="Y220" s="1"/>
      <c r="Z220" s="1"/>
      <c r="AA220" s="1"/>
      <c r="AB220" s="1"/>
      <c r="AC220" s="1"/>
      <c r="AD220" s="4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</row>
    <row r="221" spans="1:64" ht="15.75" customHeight="1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3"/>
      <c r="X221" s="1"/>
      <c r="Y221" s="1"/>
      <c r="Z221" s="1"/>
      <c r="AA221" s="1"/>
      <c r="AB221" s="1"/>
      <c r="AC221" s="1"/>
      <c r="AD221" s="4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</row>
    <row r="222" spans="1:64" ht="15.75" customHeight="1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3"/>
      <c r="X222" s="1"/>
      <c r="Y222" s="1"/>
      <c r="Z222" s="1"/>
      <c r="AA222" s="1"/>
      <c r="AB222" s="1"/>
      <c r="AC222" s="1"/>
      <c r="AD222" s="4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</row>
    <row r="223" spans="1:64" ht="15.75" customHeight="1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3"/>
      <c r="X223" s="1"/>
      <c r="Y223" s="1"/>
      <c r="Z223" s="1"/>
      <c r="AA223" s="1"/>
      <c r="AB223" s="1"/>
      <c r="AC223" s="1"/>
      <c r="AD223" s="4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</row>
    <row r="224" spans="1:64" ht="15.75" customHeight="1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3"/>
      <c r="X224" s="1"/>
      <c r="Y224" s="1"/>
      <c r="Z224" s="1"/>
      <c r="AA224" s="1"/>
      <c r="AB224" s="1"/>
      <c r="AC224" s="1"/>
      <c r="AD224" s="4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</row>
    <row r="225" spans="1:64" ht="15.75" customHeight="1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3"/>
      <c r="X225" s="1"/>
      <c r="Y225" s="1"/>
      <c r="Z225" s="1"/>
      <c r="AA225" s="1"/>
      <c r="AB225" s="1"/>
      <c r="AC225" s="1"/>
      <c r="AD225" s="4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</row>
    <row r="226" spans="1:64" ht="15.75" customHeight="1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3"/>
      <c r="X226" s="1"/>
      <c r="Y226" s="1"/>
      <c r="Z226" s="1"/>
      <c r="AA226" s="1"/>
      <c r="AB226" s="1"/>
      <c r="AC226" s="1"/>
      <c r="AD226" s="4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</row>
    <row r="227" spans="1:64" ht="15.75" customHeight="1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3"/>
      <c r="X227" s="1"/>
      <c r="Y227" s="1"/>
      <c r="Z227" s="1"/>
      <c r="AA227" s="1"/>
      <c r="AB227" s="1"/>
      <c r="AC227" s="1"/>
      <c r="AD227" s="4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</row>
    <row r="228" spans="1:64" ht="15.75" customHeight="1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3"/>
      <c r="X228" s="1"/>
      <c r="Y228" s="1"/>
      <c r="Z228" s="1"/>
      <c r="AA228" s="1"/>
      <c r="AB228" s="1"/>
      <c r="AC228" s="1"/>
      <c r="AD228" s="4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</row>
    <row r="229" spans="1:64" ht="15.75" customHeight="1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3"/>
      <c r="X229" s="1"/>
      <c r="Y229" s="1"/>
      <c r="Z229" s="1"/>
      <c r="AA229" s="1"/>
      <c r="AB229" s="1"/>
      <c r="AC229" s="1"/>
      <c r="AD229" s="4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</row>
    <row r="230" spans="1:64" ht="15.75" customHeight="1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3"/>
      <c r="X230" s="1"/>
      <c r="Y230" s="1"/>
      <c r="Z230" s="1"/>
      <c r="AA230" s="1"/>
      <c r="AB230" s="1"/>
      <c r="AC230" s="1"/>
      <c r="AD230" s="4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</row>
    <row r="231" spans="1:64" ht="15.75" customHeight="1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3"/>
      <c r="X231" s="1"/>
      <c r="Y231" s="1"/>
      <c r="Z231" s="1"/>
      <c r="AA231" s="1"/>
      <c r="AB231" s="1"/>
      <c r="AC231" s="1"/>
      <c r="AD231" s="4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</row>
    <row r="232" spans="1:64" ht="15.75" customHeight="1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3"/>
      <c r="X232" s="1"/>
      <c r="Y232" s="1"/>
      <c r="Z232" s="1"/>
      <c r="AA232" s="1"/>
      <c r="AB232" s="1"/>
      <c r="AC232" s="1"/>
      <c r="AD232" s="4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</row>
    <row r="233" spans="1:64" ht="15.75" customHeight="1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3"/>
      <c r="X233" s="1"/>
      <c r="Y233" s="1"/>
      <c r="Z233" s="1"/>
      <c r="AA233" s="1"/>
      <c r="AB233" s="1"/>
      <c r="AC233" s="1"/>
      <c r="AD233" s="4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</row>
    <row r="234" spans="1:64" ht="15.75" customHeight="1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3"/>
      <c r="X234" s="1"/>
      <c r="Y234" s="1"/>
      <c r="Z234" s="1"/>
      <c r="AA234" s="1"/>
      <c r="AB234" s="1"/>
      <c r="AC234" s="1"/>
      <c r="AD234" s="4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</row>
    <row r="235" spans="1:64" ht="15.75" customHeight="1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3"/>
      <c r="X235" s="1"/>
      <c r="Y235" s="1"/>
      <c r="Z235" s="1"/>
      <c r="AA235" s="1"/>
      <c r="AB235" s="1"/>
      <c r="AC235" s="1"/>
      <c r="AD235" s="4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</row>
    <row r="236" spans="1:64" ht="15.75" customHeight="1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3"/>
      <c r="X236" s="1"/>
      <c r="Y236" s="1"/>
      <c r="Z236" s="1"/>
      <c r="AA236" s="1"/>
      <c r="AB236" s="1"/>
      <c r="AC236" s="1"/>
      <c r="AD236" s="4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</row>
    <row r="237" spans="1:64" ht="15.75" customHeight="1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3"/>
      <c r="X237" s="1"/>
      <c r="Y237" s="1"/>
      <c r="Z237" s="1"/>
      <c r="AA237" s="1"/>
      <c r="AB237" s="1"/>
      <c r="AC237" s="1"/>
      <c r="AD237" s="4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</row>
    <row r="238" spans="1:64" ht="15.75" customHeight="1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3"/>
      <c r="X238" s="1"/>
      <c r="Y238" s="1"/>
      <c r="Z238" s="1"/>
      <c r="AA238" s="1"/>
      <c r="AB238" s="1"/>
      <c r="AC238" s="1"/>
      <c r="AD238" s="4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</row>
    <row r="239" spans="1:64" ht="15.75" customHeight="1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3"/>
      <c r="X239" s="1"/>
      <c r="Y239" s="1"/>
      <c r="Z239" s="1"/>
      <c r="AA239" s="1"/>
      <c r="AB239" s="1"/>
      <c r="AC239" s="1"/>
      <c r="AD239" s="4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</row>
    <row r="240" spans="1:64" ht="15.75" customHeight="1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3"/>
      <c r="X240" s="1"/>
      <c r="Y240" s="1"/>
      <c r="Z240" s="1"/>
      <c r="AA240" s="1"/>
      <c r="AB240" s="1"/>
      <c r="AC240" s="1"/>
      <c r="AD240" s="4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</row>
    <row r="241" spans="1:64" ht="15.75" customHeight="1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3"/>
      <c r="X241" s="1"/>
      <c r="Y241" s="1"/>
      <c r="Z241" s="1"/>
      <c r="AA241" s="1"/>
      <c r="AB241" s="1"/>
      <c r="AC241" s="1"/>
      <c r="AD241" s="4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</row>
    <row r="242" spans="1:64" ht="15.75" customHeight="1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3"/>
      <c r="X242" s="1"/>
      <c r="Y242" s="1"/>
      <c r="Z242" s="1"/>
      <c r="AA242" s="1"/>
      <c r="AB242" s="1"/>
      <c r="AC242" s="1"/>
      <c r="AD242" s="4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</row>
    <row r="243" spans="1:64" ht="15.75" customHeight="1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3"/>
      <c r="X243" s="1"/>
      <c r="Y243" s="1"/>
      <c r="Z243" s="1"/>
      <c r="AA243" s="1"/>
      <c r="AB243" s="1"/>
      <c r="AC243" s="1"/>
      <c r="AD243" s="4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</row>
    <row r="244" spans="1:64" ht="15.75" customHeight="1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3"/>
      <c r="X244" s="1"/>
      <c r="Y244" s="1"/>
      <c r="Z244" s="1"/>
      <c r="AA244" s="1"/>
      <c r="AB244" s="1"/>
      <c r="AC244" s="1"/>
      <c r="AD244" s="4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</row>
    <row r="245" spans="1:64" ht="15.75" customHeight="1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3"/>
      <c r="X245" s="1"/>
      <c r="Y245" s="1"/>
      <c r="Z245" s="1"/>
      <c r="AA245" s="1"/>
      <c r="AB245" s="1"/>
      <c r="AC245" s="1"/>
      <c r="AD245" s="4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</row>
    <row r="246" spans="1:64" ht="15.75" customHeight="1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3"/>
      <c r="X246" s="1"/>
      <c r="Y246" s="1"/>
      <c r="Z246" s="1"/>
      <c r="AA246" s="1"/>
      <c r="AB246" s="1"/>
      <c r="AC246" s="1"/>
      <c r="AD246" s="4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</row>
    <row r="247" spans="1:64" ht="15.75" customHeight="1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3"/>
      <c r="X247" s="1"/>
      <c r="Y247" s="1"/>
      <c r="Z247" s="1"/>
      <c r="AA247" s="1"/>
      <c r="AB247" s="1"/>
      <c r="AC247" s="1"/>
      <c r="AD247" s="4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</row>
    <row r="248" spans="1:64" ht="15.75" customHeight="1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3"/>
      <c r="X248" s="1"/>
      <c r="Y248" s="1"/>
      <c r="Z248" s="1"/>
      <c r="AA248" s="1"/>
      <c r="AB248" s="1"/>
      <c r="AC248" s="1"/>
      <c r="AD248" s="4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</row>
    <row r="249" spans="1:64" ht="15.75" customHeight="1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3"/>
      <c r="X249" s="1"/>
      <c r="Y249" s="1"/>
      <c r="Z249" s="1"/>
      <c r="AA249" s="1"/>
      <c r="AB249" s="1"/>
      <c r="AC249" s="1"/>
      <c r="AD249" s="4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</row>
    <row r="250" spans="1:64" ht="15.75" customHeight="1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3"/>
      <c r="X250" s="1"/>
      <c r="Y250" s="1"/>
      <c r="Z250" s="1"/>
      <c r="AA250" s="1"/>
      <c r="AB250" s="1"/>
      <c r="AC250" s="1"/>
      <c r="AD250" s="4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</row>
    <row r="251" spans="1:64" ht="15.75" customHeight="1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3"/>
      <c r="X251" s="1"/>
      <c r="Y251" s="1"/>
      <c r="Z251" s="1"/>
      <c r="AA251" s="1"/>
      <c r="AB251" s="1"/>
      <c r="AC251" s="1"/>
      <c r="AD251" s="4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</row>
    <row r="252" spans="1:64" ht="15.75" customHeight="1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3"/>
      <c r="X252" s="1"/>
      <c r="Y252" s="1"/>
      <c r="Z252" s="1"/>
      <c r="AA252" s="1"/>
      <c r="AB252" s="1"/>
      <c r="AC252" s="1"/>
      <c r="AD252" s="4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</row>
    <row r="253" spans="1:64" ht="15.75" customHeight="1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3"/>
      <c r="X253" s="1"/>
      <c r="Y253" s="1"/>
      <c r="Z253" s="1"/>
      <c r="AA253" s="1"/>
      <c r="AB253" s="1"/>
      <c r="AC253" s="1"/>
      <c r="AD253" s="4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</row>
    <row r="254" spans="1:64" ht="15.75" customHeight="1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3"/>
      <c r="X254" s="1"/>
      <c r="Y254" s="1"/>
      <c r="Z254" s="1"/>
      <c r="AA254" s="1"/>
      <c r="AB254" s="1"/>
      <c r="AC254" s="1"/>
      <c r="AD254" s="4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</row>
    <row r="255" spans="1:64" ht="15.75" customHeight="1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3"/>
      <c r="X255" s="1"/>
      <c r="Y255" s="1"/>
      <c r="Z255" s="1"/>
      <c r="AA255" s="1"/>
      <c r="AB255" s="1"/>
      <c r="AC255" s="1"/>
      <c r="AD255" s="4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</row>
    <row r="256" spans="1:64" ht="15.75" customHeight="1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3"/>
      <c r="X256" s="1"/>
      <c r="Y256" s="1"/>
      <c r="Z256" s="1"/>
      <c r="AA256" s="1"/>
      <c r="AB256" s="1"/>
      <c r="AC256" s="1"/>
      <c r="AD256" s="4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</row>
    <row r="257" spans="1:64" ht="15.75" customHeight="1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3"/>
      <c r="X257" s="1"/>
      <c r="Y257" s="1"/>
      <c r="Z257" s="1"/>
      <c r="AA257" s="1"/>
      <c r="AB257" s="1"/>
      <c r="AC257" s="1"/>
      <c r="AD257" s="4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</row>
    <row r="258" spans="1:64" ht="15.75" customHeight="1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3"/>
      <c r="X258" s="1"/>
      <c r="Y258" s="1"/>
      <c r="Z258" s="1"/>
      <c r="AA258" s="1"/>
      <c r="AB258" s="1"/>
      <c r="AC258" s="1"/>
      <c r="AD258" s="4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</row>
    <row r="259" spans="1:64" ht="15.75" customHeight="1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3"/>
      <c r="X259" s="1"/>
      <c r="Y259" s="1"/>
      <c r="Z259" s="1"/>
      <c r="AA259" s="1"/>
      <c r="AB259" s="1"/>
      <c r="AC259" s="1"/>
      <c r="AD259" s="4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</row>
    <row r="260" spans="1:64" ht="15.75" customHeight="1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3"/>
      <c r="X260" s="1"/>
      <c r="Y260" s="1"/>
      <c r="Z260" s="1"/>
      <c r="AA260" s="1"/>
      <c r="AB260" s="1"/>
      <c r="AC260" s="1"/>
      <c r="AD260" s="4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</row>
    <row r="261" spans="1:64" ht="15.75" customHeight="1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3"/>
      <c r="X261" s="1"/>
      <c r="Y261" s="1"/>
      <c r="Z261" s="1"/>
      <c r="AA261" s="1"/>
      <c r="AB261" s="1"/>
      <c r="AC261" s="1"/>
      <c r="AD261" s="4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</row>
    <row r="262" spans="1:64" ht="15.75" customHeight="1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3"/>
      <c r="X262" s="1"/>
      <c r="Y262" s="1"/>
      <c r="Z262" s="1"/>
      <c r="AA262" s="1"/>
      <c r="AB262" s="1"/>
      <c r="AC262" s="1"/>
      <c r="AD262" s="4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</row>
    <row r="263" spans="1:64" ht="15.75" customHeight="1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3"/>
      <c r="X263" s="1"/>
      <c r="Y263" s="1"/>
      <c r="Z263" s="1"/>
      <c r="AA263" s="1"/>
      <c r="AB263" s="1"/>
      <c r="AC263" s="1"/>
      <c r="AD263" s="4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</row>
    <row r="264" spans="1:64" ht="15.75" customHeight="1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3"/>
      <c r="X264" s="1"/>
      <c r="Y264" s="1"/>
      <c r="Z264" s="1"/>
      <c r="AA264" s="1"/>
      <c r="AB264" s="1"/>
      <c r="AC264" s="1"/>
      <c r="AD264" s="4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</row>
    <row r="265" spans="1:64" ht="15.75" customHeight="1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3"/>
      <c r="X265" s="1"/>
      <c r="Y265" s="1"/>
      <c r="Z265" s="1"/>
      <c r="AA265" s="1"/>
      <c r="AB265" s="1"/>
      <c r="AC265" s="1"/>
      <c r="AD265" s="4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</row>
    <row r="266" spans="1:64" ht="15.75" customHeight="1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3"/>
      <c r="X266" s="1"/>
      <c r="Y266" s="1"/>
      <c r="Z266" s="1"/>
      <c r="AA266" s="1"/>
      <c r="AB266" s="1"/>
      <c r="AC266" s="1"/>
      <c r="AD266" s="4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</row>
    <row r="267" spans="1:64" ht="15.75" customHeight="1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3"/>
      <c r="X267" s="1"/>
      <c r="Y267" s="1"/>
      <c r="Z267" s="1"/>
      <c r="AA267" s="1"/>
      <c r="AB267" s="1"/>
      <c r="AC267" s="1"/>
      <c r="AD267" s="4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</row>
    <row r="268" spans="1:64" ht="15.75" customHeight="1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3"/>
      <c r="X268" s="1"/>
      <c r="Y268" s="1"/>
      <c r="Z268" s="1"/>
      <c r="AA268" s="1"/>
      <c r="AB268" s="1"/>
      <c r="AC268" s="1"/>
      <c r="AD268" s="4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</row>
    <row r="269" spans="1:64" ht="15.75" customHeight="1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3"/>
      <c r="X269" s="1"/>
      <c r="Y269" s="1"/>
      <c r="Z269" s="1"/>
      <c r="AA269" s="1"/>
      <c r="AB269" s="1"/>
      <c r="AC269" s="1"/>
      <c r="AD269" s="4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</row>
    <row r="270" spans="1:64" ht="15.75" customHeight="1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3"/>
      <c r="X270" s="1"/>
      <c r="Y270" s="1"/>
      <c r="Z270" s="1"/>
      <c r="AA270" s="1"/>
      <c r="AB270" s="1"/>
      <c r="AC270" s="1"/>
      <c r="AD270" s="4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</row>
    <row r="271" spans="1:64" ht="15.75" customHeight="1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3"/>
      <c r="X271" s="1"/>
      <c r="Y271" s="1"/>
      <c r="Z271" s="1"/>
      <c r="AA271" s="1"/>
      <c r="AB271" s="1"/>
      <c r="AC271" s="1"/>
      <c r="AD271" s="4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</row>
    <row r="272" spans="1:64" ht="15.75" customHeight="1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3"/>
      <c r="X272" s="1"/>
      <c r="Y272" s="1"/>
      <c r="Z272" s="1"/>
      <c r="AA272" s="1"/>
      <c r="AB272" s="1"/>
      <c r="AC272" s="1"/>
      <c r="AD272" s="4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</row>
    <row r="273" spans="1:64" ht="15.75" customHeight="1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3"/>
      <c r="X273" s="1"/>
      <c r="Y273" s="1"/>
      <c r="Z273" s="1"/>
      <c r="AA273" s="1"/>
      <c r="AB273" s="1"/>
      <c r="AC273" s="1"/>
      <c r="AD273" s="4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</row>
    <row r="274" spans="1:64" ht="15.75" customHeight="1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3"/>
      <c r="X274" s="1"/>
      <c r="Y274" s="1"/>
      <c r="Z274" s="1"/>
      <c r="AA274" s="1"/>
      <c r="AB274" s="1"/>
      <c r="AC274" s="1"/>
      <c r="AD274" s="4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</row>
    <row r="275" spans="1:64" ht="15.75" customHeight="1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3"/>
      <c r="X275" s="1"/>
      <c r="Y275" s="1"/>
      <c r="Z275" s="1"/>
      <c r="AA275" s="1"/>
      <c r="AB275" s="1"/>
      <c r="AC275" s="1"/>
      <c r="AD275" s="4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</row>
    <row r="276" spans="1:64" ht="15.75" customHeight="1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3"/>
      <c r="X276" s="1"/>
      <c r="Y276" s="1"/>
      <c r="Z276" s="1"/>
      <c r="AA276" s="1"/>
      <c r="AB276" s="1"/>
      <c r="AC276" s="1"/>
      <c r="AD276" s="4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</row>
    <row r="277" spans="1:64" ht="15.75" customHeight="1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3"/>
      <c r="X277" s="1"/>
      <c r="Y277" s="1"/>
      <c r="Z277" s="1"/>
      <c r="AA277" s="1"/>
      <c r="AB277" s="1"/>
      <c r="AC277" s="1"/>
      <c r="AD277" s="4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</row>
    <row r="278" spans="1:64" ht="15.75" customHeight="1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3"/>
      <c r="X278" s="1"/>
      <c r="Y278" s="1"/>
      <c r="Z278" s="1"/>
      <c r="AA278" s="1"/>
      <c r="AB278" s="1"/>
      <c r="AC278" s="1"/>
      <c r="AD278" s="4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</row>
    <row r="279" spans="1:64" ht="15.75" customHeight="1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3"/>
      <c r="X279" s="1"/>
      <c r="Y279" s="1"/>
      <c r="Z279" s="1"/>
      <c r="AA279" s="1"/>
      <c r="AB279" s="1"/>
      <c r="AC279" s="1"/>
      <c r="AD279" s="4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</row>
    <row r="280" spans="1:64" ht="15.75" customHeight="1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3"/>
      <c r="X280" s="1"/>
      <c r="Y280" s="1"/>
      <c r="Z280" s="1"/>
      <c r="AA280" s="1"/>
      <c r="AB280" s="1"/>
      <c r="AC280" s="1"/>
      <c r="AD280" s="4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</row>
    <row r="281" spans="1:64" ht="15.75" customHeight="1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3"/>
      <c r="X281" s="1"/>
      <c r="Y281" s="1"/>
      <c r="Z281" s="1"/>
      <c r="AA281" s="1"/>
      <c r="AB281" s="1"/>
      <c r="AC281" s="1"/>
      <c r="AD281" s="4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</row>
    <row r="282" spans="1:64" ht="15.75" customHeight="1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3"/>
      <c r="X282" s="1"/>
      <c r="Y282" s="1"/>
      <c r="Z282" s="1"/>
      <c r="AA282" s="1"/>
      <c r="AB282" s="1"/>
      <c r="AC282" s="1"/>
      <c r="AD282" s="4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</row>
    <row r="283" spans="1:64" ht="15.75" customHeight="1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3"/>
      <c r="X283" s="1"/>
      <c r="Y283" s="1"/>
      <c r="Z283" s="1"/>
      <c r="AA283" s="1"/>
      <c r="AB283" s="1"/>
      <c r="AC283" s="1"/>
      <c r="AD283" s="4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</row>
    <row r="284" spans="1:64" ht="15.75" customHeight="1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3"/>
      <c r="X284" s="1"/>
      <c r="Y284" s="1"/>
      <c r="Z284" s="1"/>
      <c r="AA284" s="1"/>
      <c r="AB284" s="1"/>
      <c r="AC284" s="1"/>
      <c r="AD284" s="4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</row>
    <row r="285" spans="1:64" ht="15.75" customHeight="1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3"/>
      <c r="X285" s="1"/>
      <c r="Y285" s="1"/>
      <c r="Z285" s="1"/>
      <c r="AA285" s="1"/>
      <c r="AB285" s="1"/>
      <c r="AC285" s="1"/>
      <c r="AD285" s="4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</row>
    <row r="286" spans="1:64" ht="15.75" customHeight="1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3"/>
      <c r="X286" s="1"/>
      <c r="Y286" s="1"/>
      <c r="Z286" s="1"/>
      <c r="AA286" s="1"/>
      <c r="AB286" s="1"/>
      <c r="AC286" s="1"/>
      <c r="AD286" s="4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</row>
    <row r="287" spans="1:64" ht="15.75" customHeight="1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3"/>
      <c r="X287" s="1"/>
      <c r="Y287" s="1"/>
      <c r="Z287" s="1"/>
      <c r="AA287" s="1"/>
      <c r="AB287" s="1"/>
      <c r="AC287" s="1"/>
      <c r="AD287" s="4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</row>
    <row r="288" spans="1:64" ht="15.75" customHeight="1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3"/>
      <c r="X288" s="1"/>
      <c r="Y288" s="1"/>
      <c r="Z288" s="1"/>
      <c r="AA288" s="1"/>
      <c r="AB288" s="1"/>
      <c r="AC288" s="1"/>
      <c r="AD288" s="4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</row>
    <row r="289" spans="1:64" ht="15.75" customHeight="1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3"/>
      <c r="X289" s="1"/>
      <c r="Y289" s="1"/>
      <c r="Z289" s="1"/>
      <c r="AA289" s="1"/>
      <c r="AB289" s="1"/>
      <c r="AC289" s="1"/>
      <c r="AD289" s="4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</row>
    <row r="290" spans="1:64" ht="15.75" customHeight="1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3"/>
      <c r="X290" s="1"/>
      <c r="Y290" s="1"/>
      <c r="Z290" s="1"/>
      <c r="AA290" s="1"/>
      <c r="AB290" s="1"/>
      <c r="AC290" s="1"/>
      <c r="AD290" s="4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</row>
    <row r="291" spans="1:64" ht="15.75" customHeight="1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3"/>
      <c r="X291" s="1"/>
      <c r="Y291" s="1"/>
      <c r="Z291" s="1"/>
      <c r="AA291" s="1"/>
      <c r="AB291" s="1"/>
      <c r="AC291" s="1"/>
      <c r="AD291" s="4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</row>
    <row r="292" spans="1:64" ht="15.75" customHeight="1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3"/>
      <c r="X292" s="1"/>
      <c r="Y292" s="1"/>
      <c r="Z292" s="1"/>
      <c r="AA292" s="1"/>
      <c r="AB292" s="1"/>
      <c r="AC292" s="1"/>
      <c r="AD292" s="4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</row>
    <row r="293" spans="1:64" ht="15.75" customHeight="1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3"/>
      <c r="X293" s="1"/>
      <c r="Y293" s="1"/>
      <c r="Z293" s="1"/>
      <c r="AA293" s="1"/>
      <c r="AB293" s="1"/>
      <c r="AC293" s="1"/>
      <c r="AD293" s="4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</row>
    <row r="294" spans="1:64" ht="15.75" customHeight="1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3"/>
      <c r="X294" s="1"/>
      <c r="Y294" s="1"/>
      <c r="Z294" s="1"/>
      <c r="AA294" s="1"/>
      <c r="AB294" s="1"/>
      <c r="AC294" s="1"/>
      <c r="AD294" s="4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</row>
    <row r="295" spans="1:64" ht="15.75" customHeight="1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3"/>
      <c r="X295" s="1"/>
      <c r="Y295" s="1"/>
      <c r="Z295" s="1"/>
      <c r="AA295" s="1"/>
      <c r="AB295" s="1"/>
      <c r="AC295" s="1"/>
      <c r="AD295" s="4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</row>
    <row r="296" spans="1:64" ht="15.75" customHeight="1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3"/>
      <c r="X296" s="1"/>
      <c r="Y296" s="1"/>
      <c r="Z296" s="1"/>
      <c r="AA296" s="1"/>
      <c r="AB296" s="1"/>
      <c r="AC296" s="1"/>
      <c r="AD296" s="4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</row>
    <row r="297" spans="1:64" ht="15.75" customHeight="1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3"/>
      <c r="X297" s="1"/>
      <c r="Y297" s="1"/>
      <c r="Z297" s="1"/>
      <c r="AA297" s="1"/>
      <c r="AB297" s="1"/>
      <c r="AC297" s="1"/>
      <c r="AD297" s="4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</row>
    <row r="298" spans="1:64" ht="15.75" customHeight="1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3"/>
      <c r="X298" s="1"/>
      <c r="Y298" s="1"/>
      <c r="Z298" s="1"/>
      <c r="AA298" s="1"/>
      <c r="AB298" s="1"/>
      <c r="AC298" s="1"/>
      <c r="AD298" s="4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</row>
    <row r="299" spans="1:64" ht="15.75" customHeight="1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3"/>
      <c r="X299" s="1"/>
      <c r="Y299" s="1"/>
      <c r="Z299" s="1"/>
      <c r="AA299" s="1"/>
      <c r="AB299" s="1"/>
      <c r="AC299" s="1"/>
      <c r="AD299" s="4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</row>
    <row r="300" spans="1:64" ht="15.75" customHeight="1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3"/>
      <c r="X300" s="1"/>
      <c r="Y300" s="1"/>
      <c r="Z300" s="1"/>
      <c r="AA300" s="1"/>
      <c r="AB300" s="1"/>
      <c r="AC300" s="1"/>
      <c r="AD300" s="4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</row>
    <row r="301" spans="1:64" ht="15.75" customHeight="1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3"/>
      <c r="X301" s="1"/>
      <c r="Y301" s="1"/>
      <c r="Z301" s="1"/>
      <c r="AA301" s="1"/>
      <c r="AB301" s="1"/>
      <c r="AC301" s="1"/>
      <c r="AD301" s="4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</row>
    <row r="302" spans="1:64" ht="15.75" customHeight="1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3"/>
      <c r="X302" s="1"/>
      <c r="Y302" s="1"/>
      <c r="Z302" s="1"/>
      <c r="AA302" s="1"/>
      <c r="AB302" s="1"/>
      <c r="AC302" s="1"/>
      <c r="AD302" s="4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</row>
    <row r="303" spans="1:64" ht="15.75" customHeight="1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3"/>
      <c r="X303" s="1"/>
      <c r="Y303" s="1"/>
      <c r="Z303" s="1"/>
      <c r="AA303" s="1"/>
      <c r="AB303" s="1"/>
      <c r="AC303" s="1"/>
      <c r="AD303" s="4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</row>
    <row r="304" spans="1:64" ht="15.75" customHeight="1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3"/>
      <c r="X304" s="1"/>
      <c r="Y304" s="1"/>
      <c r="Z304" s="1"/>
      <c r="AA304" s="1"/>
      <c r="AB304" s="1"/>
      <c r="AC304" s="1"/>
      <c r="AD304" s="4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</row>
    <row r="305" spans="1:64" ht="15.75" customHeight="1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3"/>
      <c r="X305" s="1"/>
      <c r="Y305" s="1"/>
      <c r="Z305" s="1"/>
      <c r="AA305" s="1"/>
      <c r="AB305" s="1"/>
      <c r="AC305" s="1"/>
      <c r="AD305" s="4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</row>
    <row r="306" spans="1:64" ht="15.75" customHeight="1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3"/>
      <c r="X306" s="1"/>
      <c r="Y306" s="1"/>
      <c r="Z306" s="1"/>
      <c r="AA306" s="1"/>
      <c r="AB306" s="1"/>
      <c r="AC306" s="1"/>
      <c r="AD306" s="4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</row>
    <row r="307" spans="1:64" ht="15.75" customHeight="1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3"/>
      <c r="X307" s="1"/>
      <c r="Y307" s="1"/>
      <c r="Z307" s="1"/>
      <c r="AA307" s="1"/>
      <c r="AB307" s="1"/>
      <c r="AC307" s="1"/>
      <c r="AD307" s="4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</row>
    <row r="308" spans="1:64" ht="15.75" customHeight="1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3"/>
      <c r="X308" s="1"/>
      <c r="Y308" s="1"/>
      <c r="Z308" s="1"/>
      <c r="AA308" s="1"/>
      <c r="AB308" s="1"/>
      <c r="AC308" s="1"/>
      <c r="AD308" s="4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</row>
    <row r="309" spans="1:64" ht="15.75" customHeight="1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3"/>
      <c r="X309" s="1"/>
      <c r="Y309" s="1"/>
      <c r="Z309" s="1"/>
      <c r="AA309" s="1"/>
      <c r="AB309" s="1"/>
      <c r="AC309" s="1"/>
      <c r="AD309" s="4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</row>
    <row r="310" spans="1:64" ht="15.75" customHeight="1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3"/>
      <c r="X310" s="1"/>
      <c r="Y310" s="1"/>
      <c r="Z310" s="1"/>
      <c r="AA310" s="1"/>
      <c r="AB310" s="1"/>
      <c r="AC310" s="1"/>
      <c r="AD310" s="4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</row>
    <row r="311" spans="1:64" ht="15.75" customHeight="1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3"/>
      <c r="X311" s="1"/>
      <c r="Y311" s="1"/>
      <c r="Z311" s="1"/>
      <c r="AA311" s="1"/>
      <c r="AB311" s="1"/>
      <c r="AC311" s="1"/>
      <c r="AD311" s="4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</row>
    <row r="312" spans="1:64" ht="15.75" customHeight="1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3"/>
      <c r="X312" s="1"/>
      <c r="Y312" s="1"/>
      <c r="Z312" s="1"/>
      <c r="AA312" s="1"/>
      <c r="AB312" s="1"/>
      <c r="AC312" s="1"/>
      <c r="AD312" s="4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</row>
    <row r="313" spans="1:64" ht="15.75" customHeight="1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3"/>
      <c r="X313" s="1"/>
      <c r="Y313" s="1"/>
      <c r="Z313" s="1"/>
      <c r="AA313" s="1"/>
      <c r="AB313" s="1"/>
      <c r="AC313" s="1"/>
      <c r="AD313" s="4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</row>
    <row r="314" spans="1:64" ht="15.75" customHeight="1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3"/>
      <c r="X314" s="1"/>
      <c r="Y314" s="1"/>
      <c r="Z314" s="1"/>
      <c r="AA314" s="1"/>
      <c r="AB314" s="1"/>
      <c r="AC314" s="1"/>
      <c r="AD314" s="4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</row>
    <row r="315" spans="1:64" ht="15.75" customHeight="1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3"/>
      <c r="X315" s="1"/>
      <c r="Y315" s="1"/>
      <c r="Z315" s="1"/>
      <c r="AA315" s="1"/>
      <c r="AB315" s="1"/>
      <c r="AC315" s="1"/>
      <c r="AD315" s="4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</row>
    <row r="316" spans="1:64" ht="15.75" customHeight="1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3"/>
      <c r="X316" s="1"/>
      <c r="Y316" s="1"/>
      <c r="Z316" s="1"/>
      <c r="AA316" s="1"/>
      <c r="AB316" s="1"/>
      <c r="AC316" s="1"/>
      <c r="AD316" s="4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</row>
    <row r="317" spans="1:64" ht="15.75" customHeight="1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3"/>
      <c r="X317" s="1"/>
      <c r="Y317" s="1"/>
      <c r="Z317" s="1"/>
      <c r="AA317" s="1"/>
      <c r="AB317" s="1"/>
      <c r="AC317" s="1"/>
      <c r="AD317" s="4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</row>
    <row r="318" spans="1:64" ht="15.75" customHeight="1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3"/>
      <c r="X318" s="1"/>
      <c r="Y318" s="1"/>
      <c r="Z318" s="1"/>
      <c r="AA318" s="1"/>
      <c r="AB318" s="1"/>
      <c r="AC318" s="1"/>
      <c r="AD318" s="4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</row>
    <row r="319" spans="1:64" ht="15.75" customHeight="1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3"/>
      <c r="X319" s="1"/>
      <c r="Y319" s="1"/>
      <c r="Z319" s="1"/>
      <c r="AA319" s="1"/>
      <c r="AB319" s="1"/>
      <c r="AC319" s="1"/>
      <c r="AD319" s="4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</row>
    <row r="320" spans="1:64" ht="15.75" customHeight="1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3"/>
      <c r="X320" s="1"/>
      <c r="Y320" s="1"/>
      <c r="Z320" s="1"/>
      <c r="AA320" s="1"/>
      <c r="AB320" s="1"/>
      <c r="AC320" s="1"/>
      <c r="AD320" s="4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</row>
    <row r="321" spans="1:64" ht="15.75" customHeight="1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3"/>
      <c r="X321" s="1"/>
      <c r="Y321" s="1"/>
      <c r="Z321" s="1"/>
      <c r="AA321" s="1"/>
      <c r="AB321" s="1"/>
      <c r="AC321" s="1"/>
      <c r="AD321" s="4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</row>
    <row r="322" spans="1:64" ht="15.75" customHeight="1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3"/>
      <c r="X322" s="1"/>
      <c r="Y322" s="1"/>
      <c r="Z322" s="1"/>
      <c r="AA322" s="1"/>
      <c r="AB322" s="1"/>
      <c r="AC322" s="1"/>
      <c r="AD322" s="4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</row>
    <row r="323" spans="1:64" ht="15.75" customHeight="1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3"/>
      <c r="X323" s="1"/>
      <c r="Y323" s="1"/>
      <c r="Z323" s="1"/>
      <c r="AA323" s="1"/>
      <c r="AB323" s="1"/>
      <c r="AC323" s="1"/>
      <c r="AD323" s="4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</row>
    <row r="324" spans="1:64" ht="15.75" customHeight="1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3"/>
      <c r="X324" s="1"/>
      <c r="Y324" s="1"/>
      <c r="Z324" s="1"/>
      <c r="AA324" s="1"/>
      <c r="AB324" s="1"/>
      <c r="AC324" s="1"/>
      <c r="AD324" s="4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</row>
    <row r="325" spans="1:64" ht="15.75" customHeight="1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3"/>
      <c r="X325" s="1"/>
      <c r="Y325" s="1"/>
      <c r="Z325" s="1"/>
      <c r="AA325" s="1"/>
      <c r="AB325" s="1"/>
      <c r="AC325" s="1"/>
      <c r="AD325" s="4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</row>
    <row r="326" spans="1:64" ht="15.75" customHeight="1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3"/>
      <c r="X326" s="1"/>
      <c r="Y326" s="1"/>
      <c r="Z326" s="1"/>
      <c r="AA326" s="1"/>
      <c r="AB326" s="1"/>
      <c r="AC326" s="1"/>
      <c r="AD326" s="4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</row>
    <row r="327" spans="1:64" ht="15.75" customHeight="1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3"/>
      <c r="X327" s="1"/>
      <c r="Y327" s="1"/>
      <c r="Z327" s="1"/>
      <c r="AA327" s="1"/>
      <c r="AB327" s="1"/>
      <c r="AC327" s="1"/>
      <c r="AD327" s="4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</row>
    <row r="328" spans="1:64" ht="15.75" customHeight="1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3"/>
      <c r="X328" s="1"/>
      <c r="Y328" s="1"/>
      <c r="Z328" s="1"/>
      <c r="AA328" s="1"/>
      <c r="AB328" s="1"/>
      <c r="AC328" s="1"/>
      <c r="AD328" s="4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</row>
    <row r="329" spans="1:64" ht="15.75" customHeight="1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3"/>
      <c r="X329" s="1"/>
      <c r="Y329" s="1"/>
      <c r="Z329" s="1"/>
      <c r="AA329" s="1"/>
      <c r="AB329" s="1"/>
      <c r="AC329" s="1"/>
      <c r="AD329" s="4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</row>
    <row r="330" spans="1:64" ht="15.75" customHeight="1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3"/>
      <c r="X330" s="1"/>
      <c r="Y330" s="1"/>
      <c r="Z330" s="1"/>
      <c r="AA330" s="1"/>
      <c r="AB330" s="1"/>
      <c r="AC330" s="1"/>
      <c r="AD330" s="4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</row>
    <row r="331" spans="1:64" ht="15.75" customHeight="1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3"/>
      <c r="X331" s="1"/>
      <c r="Y331" s="1"/>
      <c r="Z331" s="1"/>
      <c r="AA331" s="1"/>
      <c r="AB331" s="1"/>
      <c r="AC331" s="1"/>
      <c r="AD331" s="4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</row>
    <row r="332" spans="1:64" ht="15.75" customHeight="1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3"/>
      <c r="X332" s="1"/>
      <c r="Y332" s="1"/>
      <c r="Z332" s="1"/>
      <c r="AA332" s="1"/>
      <c r="AB332" s="1"/>
      <c r="AC332" s="1"/>
      <c r="AD332" s="4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</row>
    <row r="333" spans="1:64" ht="15.75" customHeight="1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3"/>
      <c r="X333" s="1"/>
      <c r="Y333" s="1"/>
      <c r="Z333" s="1"/>
      <c r="AA333" s="1"/>
      <c r="AB333" s="1"/>
      <c r="AC333" s="1"/>
      <c r="AD333" s="4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</row>
    <row r="334" spans="1:64" ht="15.75" customHeight="1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3"/>
      <c r="X334" s="1"/>
      <c r="Y334" s="1"/>
      <c r="Z334" s="1"/>
      <c r="AA334" s="1"/>
      <c r="AB334" s="1"/>
      <c r="AC334" s="1"/>
      <c r="AD334" s="4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</row>
    <row r="335" spans="1:64" ht="15.75" customHeight="1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3"/>
      <c r="X335" s="1"/>
      <c r="Y335" s="1"/>
      <c r="Z335" s="1"/>
      <c r="AA335" s="1"/>
      <c r="AB335" s="1"/>
      <c r="AC335" s="1"/>
      <c r="AD335" s="4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</row>
    <row r="336" spans="1:64" ht="15.75" customHeight="1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3"/>
      <c r="X336" s="1"/>
      <c r="Y336" s="1"/>
      <c r="Z336" s="1"/>
      <c r="AA336" s="1"/>
      <c r="AB336" s="1"/>
      <c r="AC336" s="1"/>
      <c r="AD336" s="4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</row>
    <row r="337" spans="1:64" ht="15.75" customHeight="1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3"/>
      <c r="X337" s="1"/>
      <c r="Y337" s="1"/>
      <c r="Z337" s="1"/>
      <c r="AA337" s="1"/>
      <c r="AB337" s="1"/>
      <c r="AC337" s="1"/>
      <c r="AD337" s="4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</row>
    <row r="338" spans="1:64" ht="15.75" customHeight="1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3"/>
      <c r="X338" s="1"/>
      <c r="Y338" s="1"/>
      <c r="Z338" s="1"/>
      <c r="AA338" s="1"/>
      <c r="AB338" s="1"/>
      <c r="AC338" s="1"/>
      <c r="AD338" s="4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</row>
    <row r="339" spans="1:64" ht="15.75" customHeight="1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3"/>
      <c r="X339" s="1"/>
      <c r="Y339" s="1"/>
      <c r="Z339" s="1"/>
      <c r="AA339" s="1"/>
      <c r="AB339" s="1"/>
      <c r="AC339" s="1"/>
      <c r="AD339" s="4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</row>
    <row r="340" spans="1:64" ht="15.75" customHeight="1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3"/>
      <c r="X340" s="1"/>
      <c r="Y340" s="1"/>
      <c r="Z340" s="1"/>
      <c r="AA340" s="1"/>
      <c r="AB340" s="1"/>
      <c r="AC340" s="1"/>
      <c r="AD340" s="4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</row>
    <row r="341" spans="1:64" ht="15.75" customHeight="1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3"/>
      <c r="X341" s="1"/>
      <c r="Y341" s="1"/>
      <c r="Z341" s="1"/>
      <c r="AA341" s="1"/>
      <c r="AB341" s="1"/>
      <c r="AC341" s="1"/>
      <c r="AD341" s="4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</row>
    <row r="342" spans="1:64" ht="15.75" customHeight="1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3"/>
      <c r="X342" s="1"/>
      <c r="Y342" s="1"/>
      <c r="Z342" s="1"/>
      <c r="AA342" s="1"/>
      <c r="AB342" s="1"/>
      <c r="AC342" s="1"/>
      <c r="AD342" s="4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</row>
    <row r="343" spans="1:64" ht="15.75" customHeight="1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3"/>
      <c r="X343" s="1"/>
      <c r="Y343" s="1"/>
      <c r="Z343" s="1"/>
      <c r="AA343" s="1"/>
      <c r="AB343" s="1"/>
      <c r="AC343" s="1"/>
      <c r="AD343" s="4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</row>
    <row r="344" spans="1:64" ht="15.75" customHeight="1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3"/>
      <c r="X344" s="1"/>
      <c r="Y344" s="1"/>
      <c r="Z344" s="1"/>
      <c r="AA344" s="1"/>
      <c r="AB344" s="1"/>
      <c r="AC344" s="1"/>
      <c r="AD344" s="4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</row>
    <row r="345" spans="1:64" ht="15.75" customHeight="1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3"/>
      <c r="X345" s="1"/>
      <c r="Y345" s="1"/>
      <c r="Z345" s="1"/>
      <c r="AA345" s="1"/>
      <c r="AB345" s="1"/>
      <c r="AC345" s="1"/>
      <c r="AD345" s="4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</row>
    <row r="346" spans="1:64" ht="15.75" customHeight="1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3"/>
      <c r="X346" s="1"/>
      <c r="Y346" s="1"/>
      <c r="Z346" s="1"/>
      <c r="AA346" s="1"/>
      <c r="AB346" s="1"/>
      <c r="AC346" s="1"/>
      <c r="AD346" s="4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</row>
    <row r="347" spans="1:64" ht="15.75" customHeight="1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3"/>
      <c r="X347" s="1"/>
      <c r="Y347" s="1"/>
      <c r="Z347" s="1"/>
      <c r="AA347" s="1"/>
      <c r="AB347" s="1"/>
      <c r="AC347" s="1"/>
      <c r="AD347" s="4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</row>
    <row r="348" spans="1:64" ht="15.75" customHeight="1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3"/>
      <c r="X348" s="1"/>
      <c r="Y348" s="1"/>
      <c r="Z348" s="1"/>
      <c r="AA348" s="1"/>
      <c r="AB348" s="1"/>
      <c r="AC348" s="1"/>
      <c r="AD348" s="4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</row>
    <row r="349" spans="1:64" ht="15.75" customHeight="1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3"/>
      <c r="X349" s="1"/>
      <c r="Y349" s="1"/>
      <c r="Z349" s="1"/>
      <c r="AA349" s="1"/>
      <c r="AB349" s="1"/>
      <c r="AC349" s="1"/>
      <c r="AD349" s="4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</row>
    <row r="350" spans="1:64" ht="15.75" customHeight="1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3"/>
      <c r="X350" s="1"/>
      <c r="Y350" s="1"/>
      <c r="Z350" s="1"/>
      <c r="AA350" s="1"/>
      <c r="AB350" s="1"/>
      <c r="AC350" s="1"/>
      <c r="AD350" s="4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</row>
    <row r="351" spans="1:64" ht="15.75" customHeight="1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3"/>
      <c r="X351" s="1"/>
      <c r="Y351" s="1"/>
      <c r="Z351" s="1"/>
      <c r="AA351" s="1"/>
      <c r="AB351" s="1"/>
      <c r="AC351" s="1"/>
      <c r="AD351" s="4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</row>
    <row r="352" spans="1:64" ht="15.75" customHeight="1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3"/>
      <c r="X352" s="1"/>
      <c r="Y352" s="1"/>
      <c r="Z352" s="1"/>
      <c r="AA352" s="1"/>
      <c r="AB352" s="1"/>
      <c r="AC352" s="1"/>
      <c r="AD352" s="4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</row>
    <row r="353" spans="1:64" ht="15.75" customHeight="1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3"/>
      <c r="X353" s="1"/>
      <c r="Y353" s="1"/>
      <c r="Z353" s="1"/>
      <c r="AA353" s="1"/>
      <c r="AB353" s="1"/>
      <c r="AC353" s="1"/>
      <c r="AD353" s="4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</row>
    <row r="354" spans="1:64" ht="15.75" customHeight="1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3"/>
      <c r="X354" s="1"/>
      <c r="Y354" s="1"/>
      <c r="Z354" s="1"/>
      <c r="AA354" s="1"/>
      <c r="AB354" s="1"/>
      <c r="AC354" s="1"/>
      <c r="AD354" s="4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</row>
    <row r="355" spans="1:64" ht="15.75" customHeight="1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3"/>
      <c r="X355" s="1"/>
      <c r="Y355" s="1"/>
      <c r="Z355" s="1"/>
      <c r="AA355" s="1"/>
      <c r="AB355" s="1"/>
      <c r="AC355" s="1"/>
      <c r="AD355" s="4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</row>
    <row r="356" spans="1:64" ht="15.75" customHeight="1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3"/>
      <c r="X356" s="1"/>
      <c r="Y356" s="1"/>
      <c r="Z356" s="1"/>
      <c r="AA356" s="1"/>
      <c r="AB356" s="1"/>
      <c r="AC356" s="1"/>
      <c r="AD356" s="4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</row>
    <row r="357" spans="1:64" ht="15.75" customHeight="1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3"/>
      <c r="X357" s="1"/>
      <c r="Y357" s="1"/>
      <c r="Z357" s="1"/>
      <c r="AA357" s="1"/>
      <c r="AB357" s="1"/>
      <c r="AC357" s="1"/>
      <c r="AD357" s="4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</row>
    <row r="358" spans="1:64" ht="15.75" customHeight="1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3"/>
      <c r="X358" s="1"/>
      <c r="Y358" s="1"/>
      <c r="Z358" s="1"/>
      <c r="AA358" s="1"/>
      <c r="AB358" s="1"/>
      <c r="AC358" s="1"/>
      <c r="AD358" s="4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</row>
    <row r="359" spans="1:64" ht="15.75" customHeight="1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3"/>
      <c r="X359" s="1"/>
      <c r="Y359" s="1"/>
      <c r="Z359" s="1"/>
      <c r="AA359" s="1"/>
      <c r="AB359" s="1"/>
      <c r="AC359" s="1"/>
      <c r="AD359" s="4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</row>
    <row r="360" spans="1:64" ht="15.75" customHeight="1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3"/>
      <c r="X360" s="1"/>
      <c r="Y360" s="1"/>
      <c r="Z360" s="1"/>
      <c r="AA360" s="1"/>
      <c r="AB360" s="1"/>
      <c r="AC360" s="1"/>
      <c r="AD360" s="4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</row>
    <row r="361" spans="1:64" ht="15.75" customHeight="1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3"/>
      <c r="X361" s="1"/>
      <c r="Y361" s="1"/>
      <c r="Z361" s="1"/>
      <c r="AA361" s="1"/>
      <c r="AB361" s="1"/>
      <c r="AC361" s="1"/>
      <c r="AD361" s="4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</row>
    <row r="362" spans="1:64" ht="15.75" customHeight="1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3"/>
      <c r="X362" s="1"/>
      <c r="Y362" s="1"/>
      <c r="Z362" s="1"/>
      <c r="AA362" s="1"/>
      <c r="AB362" s="1"/>
      <c r="AC362" s="1"/>
      <c r="AD362" s="4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</row>
    <row r="363" spans="1:64" ht="15.75" customHeight="1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3"/>
      <c r="X363" s="1"/>
      <c r="Y363" s="1"/>
      <c r="Z363" s="1"/>
      <c r="AA363" s="1"/>
      <c r="AB363" s="1"/>
      <c r="AC363" s="1"/>
      <c r="AD363" s="4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</row>
    <row r="364" spans="1:64" ht="15.75" customHeight="1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3"/>
      <c r="X364" s="1"/>
      <c r="Y364" s="1"/>
      <c r="Z364" s="1"/>
      <c r="AA364" s="1"/>
      <c r="AB364" s="1"/>
      <c r="AC364" s="1"/>
      <c r="AD364" s="4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</row>
    <row r="365" spans="1:64" ht="15.75" customHeight="1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3"/>
      <c r="X365" s="1"/>
      <c r="Y365" s="1"/>
      <c r="Z365" s="1"/>
      <c r="AA365" s="1"/>
      <c r="AB365" s="1"/>
      <c r="AC365" s="1"/>
      <c r="AD365" s="4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</row>
    <row r="366" spans="1:64" ht="15.75" customHeight="1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3"/>
      <c r="X366" s="1"/>
      <c r="Y366" s="1"/>
      <c r="Z366" s="1"/>
      <c r="AA366" s="1"/>
      <c r="AB366" s="1"/>
      <c r="AC366" s="1"/>
      <c r="AD366" s="4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</row>
    <row r="367" spans="1:64" ht="15.75" customHeight="1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3"/>
      <c r="X367" s="1"/>
      <c r="Y367" s="1"/>
      <c r="Z367" s="1"/>
      <c r="AA367" s="1"/>
      <c r="AB367" s="1"/>
      <c r="AC367" s="1"/>
      <c r="AD367" s="4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</row>
    <row r="368" spans="1:64" ht="15.75" customHeight="1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3"/>
      <c r="X368" s="1"/>
      <c r="Y368" s="1"/>
      <c r="Z368" s="1"/>
      <c r="AA368" s="1"/>
      <c r="AB368" s="1"/>
      <c r="AC368" s="1"/>
      <c r="AD368" s="4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</row>
    <row r="369" spans="1:64" ht="15.75" customHeight="1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3"/>
      <c r="X369" s="1"/>
      <c r="Y369" s="1"/>
      <c r="Z369" s="1"/>
      <c r="AA369" s="1"/>
      <c r="AB369" s="1"/>
      <c r="AC369" s="1"/>
      <c r="AD369" s="4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</row>
    <row r="370" spans="1:64" ht="15.75" customHeight="1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3"/>
      <c r="X370" s="1"/>
      <c r="Y370" s="1"/>
      <c r="Z370" s="1"/>
      <c r="AA370" s="1"/>
      <c r="AB370" s="1"/>
      <c r="AC370" s="1"/>
      <c r="AD370" s="4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</row>
    <row r="371" spans="1:64" ht="15.75" customHeight="1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3"/>
      <c r="X371" s="1"/>
      <c r="Y371" s="1"/>
      <c r="Z371" s="1"/>
      <c r="AA371" s="1"/>
      <c r="AB371" s="1"/>
      <c r="AC371" s="1"/>
      <c r="AD371" s="4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</row>
    <row r="372" spans="1:64" ht="15.75" customHeight="1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3"/>
      <c r="X372" s="1"/>
      <c r="Y372" s="1"/>
      <c r="Z372" s="1"/>
      <c r="AA372" s="1"/>
      <c r="AB372" s="1"/>
      <c r="AC372" s="1"/>
      <c r="AD372" s="4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</row>
    <row r="373" spans="1:64" ht="15.75" customHeight="1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3"/>
      <c r="X373" s="1"/>
      <c r="Y373" s="1"/>
      <c r="Z373" s="1"/>
      <c r="AA373" s="1"/>
      <c r="AB373" s="1"/>
      <c r="AC373" s="1"/>
      <c r="AD373" s="4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</row>
    <row r="374" spans="1:64" ht="15.75" customHeight="1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3"/>
      <c r="X374" s="1"/>
      <c r="Y374" s="1"/>
      <c r="Z374" s="1"/>
      <c r="AA374" s="1"/>
      <c r="AB374" s="1"/>
      <c r="AC374" s="1"/>
      <c r="AD374" s="4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</row>
    <row r="375" spans="1:64" ht="15.75" customHeight="1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3"/>
      <c r="X375" s="1"/>
      <c r="Y375" s="1"/>
      <c r="Z375" s="1"/>
      <c r="AA375" s="1"/>
      <c r="AB375" s="1"/>
      <c r="AC375" s="1"/>
      <c r="AD375" s="4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</row>
    <row r="376" spans="1:64" ht="15.75" customHeight="1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3"/>
      <c r="X376" s="1"/>
      <c r="Y376" s="1"/>
      <c r="Z376" s="1"/>
      <c r="AA376" s="1"/>
      <c r="AB376" s="1"/>
      <c r="AC376" s="1"/>
      <c r="AD376" s="4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</row>
    <row r="377" spans="1:64" ht="15.75" customHeight="1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3"/>
      <c r="X377" s="1"/>
      <c r="Y377" s="1"/>
      <c r="Z377" s="1"/>
      <c r="AA377" s="1"/>
      <c r="AB377" s="1"/>
      <c r="AC377" s="1"/>
      <c r="AD377" s="4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</row>
    <row r="378" spans="1:64" ht="15.75" customHeight="1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3"/>
      <c r="X378" s="1"/>
      <c r="Y378" s="1"/>
      <c r="Z378" s="1"/>
      <c r="AA378" s="1"/>
      <c r="AB378" s="1"/>
      <c r="AC378" s="1"/>
      <c r="AD378" s="4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</row>
    <row r="379" spans="1:64" ht="15.75" customHeight="1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3"/>
      <c r="X379" s="1"/>
      <c r="Y379" s="1"/>
      <c r="Z379" s="1"/>
      <c r="AA379" s="1"/>
      <c r="AB379" s="1"/>
      <c r="AC379" s="1"/>
      <c r="AD379" s="4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</row>
    <row r="380" spans="1:64" ht="15.75" customHeight="1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3"/>
      <c r="X380" s="1"/>
      <c r="Y380" s="1"/>
      <c r="Z380" s="1"/>
      <c r="AA380" s="1"/>
      <c r="AB380" s="1"/>
      <c r="AC380" s="1"/>
      <c r="AD380" s="4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</row>
    <row r="381" spans="1:64" ht="15.75" customHeight="1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3"/>
      <c r="X381" s="1"/>
      <c r="Y381" s="1"/>
      <c r="Z381" s="1"/>
      <c r="AA381" s="1"/>
      <c r="AB381" s="1"/>
      <c r="AC381" s="1"/>
      <c r="AD381" s="4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</row>
    <row r="382" spans="1:64" ht="15.75" customHeight="1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3"/>
      <c r="X382" s="1"/>
      <c r="Y382" s="1"/>
      <c r="Z382" s="1"/>
      <c r="AA382" s="1"/>
      <c r="AB382" s="1"/>
      <c r="AC382" s="1"/>
      <c r="AD382" s="4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</row>
    <row r="383" spans="1:64" ht="15.75" customHeight="1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3"/>
      <c r="X383" s="1"/>
      <c r="Y383" s="1"/>
      <c r="Z383" s="1"/>
      <c r="AA383" s="1"/>
      <c r="AB383" s="1"/>
      <c r="AC383" s="1"/>
      <c r="AD383" s="4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</row>
    <row r="384" spans="1:64" ht="15.75" customHeight="1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3"/>
      <c r="X384" s="1"/>
      <c r="Y384" s="1"/>
      <c r="Z384" s="1"/>
      <c r="AA384" s="1"/>
      <c r="AB384" s="1"/>
      <c r="AC384" s="1"/>
      <c r="AD384" s="4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</row>
    <row r="385" spans="1:64" ht="15.75" customHeight="1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3"/>
      <c r="X385" s="1"/>
      <c r="Y385" s="1"/>
      <c r="Z385" s="1"/>
      <c r="AA385" s="1"/>
      <c r="AB385" s="1"/>
      <c r="AC385" s="1"/>
      <c r="AD385" s="4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</row>
    <row r="386" spans="1:64" ht="15.75" customHeight="1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3"/>
      <c r="X386" s="1"/>
      <c r="Y386" s="1"/>
      <c r="Z386" s="1"/>
      <c r="AA386" s="1"/>
      <c r="AB386" s="1"/>
      <c r="AC386" s="1"/>
      <c r="AD386" s="4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</row>
    <row r="387" spans="1:64" ht="15.75" customHeight="1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3"/>
      <c r="X387" s="1"/>
      <c r="Y387" s="1"/>
      <c r="Z387" s="1"/>
      <c r="AA387" s="1"/>
      <c r="AB387" s="1"/>
      <c r="AC387" s="1"/>
      <c r="AD387" s="4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</row>
    <row r="388" spans="1:64" ht="15.75" customHeight="1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3"/>
      <c r="X388" s="1"/>
      <c r="Y388" s="1"/>
      <c r="Z388" s="1"/>
      <c r="AA388" s="1"/>
      <c r="AB388" s="1"/>
      <c r="AC388" s="1"/>
      <c r="AD388" s="4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</row>
    <row r="389" spans="1:64" ht="15.75" customHeight="1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3"/>
      <c r="X389" s="1"/>
      <c r="Y389" s="1"/>
      <c r="Z389" s="1"/>
      <c r="AA389" s="1"/>
      <c r="AB389" s="1"/>
      <c r="AC389" s="1"/>
      <c r="AD389" s="4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</row>
    <row r="390" spans="1:64" ht="15.75" customHeight="1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3"/>
      <c r="X390" s="1"/>
      <c r="Y390" s="1"/>
      <c r="Z390" s="1"/>
      <c r="AA390" s="1"/>
      <c r="AB390" s="1"/>
      <c r="AC390" s="1"/>
      <c r="AD390" s="4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</row>
    <row r="391" spans="1:64" ht="15.75" customHeight="1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3"/>
      <c r="X391" s="1"/>
      <c r="Y391" s="1"/>
      <c r="Z391" s="1"/>
      <c r="AA391" s="1"/>
      <c r="AB391" s="1"/>
      <c r="AC391" s="1"/>
      <c r="AD391" s="4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</row>
    <row r="392" spans="1:64" ht="15.75" customHeight="1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3"/>
      <c r="X392" s="1"/>
      <c r="Y392" s="1"/>
      <c r="Z392" s="1"/>
      <c r="AA392" s="1"/>
      <c r="AB392" s="1"/>
      <c r="AC392" s="1"/>
      <c r="AD392" s="4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</row>
    <row r="393" spans="1:64" ht="15.75" customHeight="1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3"/>
      <c r="X393" s="1"/>
      <c r="Y393" s="1"/>
      <c r="Z393" s="1"/>
      <c r="AA393" s="1"/>
      <c r="AB393" s="1"/>
      <c r="AC393" s="1"/>
      <c r="AD393" s="4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</row>
    <row r="394" spans="1:64" ht="15.75" customHeight="1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3"/>
      <c r="X394" s="1"/>
      <c r="Y394" s="1"/>
      <c r="Z394" s="1"/>
      <c r="AA394" s="1"/>
      <c r="AB394" s="1"/>
      <c r="AC394" s="1"/>
      <c r="AD394" s="4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</row>
    <row r="395" spans="1:64" ht="15.75" customHeight="1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3"/>
      <c r="X395" s="1"/>
      <c r="Y395" s="1"/>
      <c r="Z395" s="1"/>
      <c r="AA395" s="1"/>
      <c r="AB395" s="1"/>
      <c r="AC395" s="1"/>
      <c r="AD395" s="4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</row>
    <row r="396" spans="1:64" ht="15.75" customHeight="1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3"/>
      <c r="X396" s="1"/>
      <c r="Y396" s="1"/>
      <c r="Z396" s="1"/>
      <c r="AA396" s="1"/>
      <c r="AB396" s="1"/>
      <c r="AC396" s="1"/>
      <c r="AD396" s="4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</row>
    <row r="397" spans="1:64" ht="15.75" customHeight="1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3"/>
      <c r="X397" s="1"/>
      <c r="Y397" s="1"/>
      <c r="Z397" s="1"/>
      <c r="AA397" s="1"/>
      <c r="AB397" s="1"/>
      <c r="AC397" s="1"/>
      <c r="AD397" s="4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</row>
    <row r="398" spans="1:64" ht="15.75" customHeight="1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3"/>
      <c r="X398" s="1"/>
      <c r="Y398" s="1"/>
      <c r="Z398" s="1"/>
      <c r="AA398" s="1"/>
      <c r="AB398" s="1"/>
      <c r="AC398" s="1"/>
      <c r="AD398" s="4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</row>
    <row r="399" spans="1:64" ht="15.75" customHeight="1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3"/>
      <c r="X399" s="1"/>
      <c r="Y399" s="1"/>
      <c r="Z399" s="1"/>
      <c r="AA399" s="1"/>
      <c r="AB399" s="1"/>
      <c r="AC399" s="1"/>
      <c r="AD399" s="4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</row>
    <row r="400" spans="1:64" ht="15.75" customHeight="1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3"/>
      <c r="X400" s="1"/>
      <c r="Y400" s="1"/>
      <c r="Z400" s="1"/>
      <c r="AA400" s="1"/>
      <c r="AB400" s="1"/>
      <c r="AC400" s="1"/>
      <c r="AD400" s="4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</row>
    <row r="401" spans="1:64" ht="15.75" customHeight="1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3"/>
      <c r="X401" s="1"/>
      <c r="Y401" s="1"/>
      <c r="Z401" s="1"/>
      <c r="AA401" s="1"/>
      <c r="AB401" s="1"/>
      <c r="AC401" s="1"/>
      <c r="AD401" s="4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</row>
    <row r="402" spans="1:64" ht="15.75" customHeight="1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3"/>
      <c r="X402" s="1"/>
      <c r="Y402" s="1"/>
      <c r="Z402" s="1"/>
      <c r="AA402" s="1"/>
      <c r="AB402" s="1"/>
      <c r="AC402" s="1"/>
      <c r="AD402" s="4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</row>
    <row r="403" spans="1:64" ht="15.75" customHeight="1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3"/>
      <c r="X403" s="1"/>
      <c r="Y403" s="1"/>
      <c r="Z403" s="1"/>
      <c r="AA403" s="1"/>
      <c r="AB403" s="1"/>
      <c r="AC403" s="1"/>
      <c r="AD403" s="4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</row>
    <row r="404" spans="1:64" ht="15.75" customHeight="1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3"/>
      <c r="X404" s="1"/>
      <c r="Y404" s="1"/>
      <c r="Z404" s="1"/>
      <c r="AA404" s="1"/>
      <c r="AB404" s="1"/>
      <c r="AC404" s="1"/>
      <c r="AD404" s="4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</row>
    <row r="405" spans="1:64" ht="15.75" customHeight="1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3"/>
      <c r="X405" s="1"/>
      <c r="Y405" s="1"/>
      <c r="Z405" s="1"/>
      <c r="AA405" s="1"/>
      <c r="AB405" s="1"/>
      <c r="AC405" s="1"/>
      <c r="AD405" s="4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</row>
    <row r="406" spans="1:64" ht="15.75" customHeight="1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3"/>
      <c r="X406" s="1"/>
      <c r="Y406" s="1"/>
      <c r="Z406" s="1"/>
      <c r="AA406" s="1"/>
      <c r="AB406" s="1"/>
      <c r="AC406" s="1"/>
      <c r="AD406" s="4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</row>
    <row r="407" spans="1:64" ht="15.75" customHeight="1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3"/>
      <c r="X407" s="1"/>
      <c r="Y407" s="1"/>
      <c r="Z407" s="1"/>
      <c r="AA407" s="1"/>
      <c r="AB407" s="1"/>
      <c r="AC407" s="1"/>
      <c r="AD407" s="4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</row>
    <row r="408" spans="1:64" ht="15.75" customHeight="1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3"/>
      <c r="X408" s="1"/>
      <c r="Y408" s="1"/>
      <c r="Z408" s="1"/>
      <c r="AA408" s="1"/>
      <c r="AB408" s="1"/>
      <c r="AC408" s="1"/>
      <c r="AD408" s="4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</row>
    <row r="409" spans="1:64" ht="15.75" customHeight="1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3"/>
      <c r="X409" s="1"/>
      <c r="Y409" s="1"/>
      <c r="Z409" s="1"/>
      <c r="AA409" s="1"/>
      <c r="AB409" s="1"/>
      <c r="AC409" s="1"/>
      <c r="AD409" s="4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</row>
    <row r="410" spans="1:64" ht="15.75" customHeight="1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3"/>
      <c r="X410" s="1"/>
      <c r="Y410" s="1"/>
      <c r="Z410" s="1"/>
      <c r="AA410" s="1"/>
      <c r="AB410" s="1"/>
      <c r="AC410" s="1"/>
      <c r="AD410" s="4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</row>
    <row r="411" spans="1:64" ht="15.75" customHeight="1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3"/>
      <c r="X411" s="1"/>
      <c r="Y411" s="1"/>
      <c r="Z411" s="1"/>
      <c r="AA411" s="1"/>
      <c r="AB411" s="1"/>
      <c r="AC411" s="1"/>
      <c r="AD411" s="4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</row>
    <row r="412" spans="1:64" ht="15.75" customHeight="1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3"/>
      <c r="X412" s="1"/>
      <c r="Y412" s="1"/>
      <c r="Z412" s="1"/>
      <c r="AA412" s="1"/>
      <c r="AB412" s="1"/>
      <c r="AC412" s="1"/>
      <c r="AD412" s="4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</row>
    <row r="413" spans="1:64" ht="15.75" customHeight="1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3"/>
      <c r="X413" s="1"/>
      <c r="Y413" s="1"/>
      <c r="Z413" s="1"/>
      <c r="AA413" s="1"/>
      <c r="AB413" s="1"/>
      <c r="AC413" s="1"/>
      <c r="AD413" s="4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</row>
    <row r="414" spans="1:64" ht="15.75" customHeight="1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3"/>
      <c r="X414" s="1"/>
      <c r="Y414" s="1"/>
      <c r="Z414" s="1"/>
      <c r="AA414" s="1"/>
      <c r="AB414" s="1"/>
      <c r="AC414" s="1"/>
      <c r="AD414" s="4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</row>
    <row r="415" spans="1:64" ht="15.75" customHeight="1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3"/>
      <c r="X415" s="1"/>
      <c r="Y415" s="1"/>
      <c r="Z415" s="1"/>
      <c r="AA415" s="1"/>
      <c r="AB415" s="1"/>
      <c r="AC415" s="1"/>
      <c r="AD415" s="4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</row>
    <row r="416" spans="1:64" ht="15.75" customHeight="1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3"/>
      <c r="X416" s="1"/>
      <c r="Y416" s="1"/>
      <c r="Z416" s="1"/>
      <c r="AA416" s="1"/>
      <c r="AB416" s="1"/>
      <c r="AC416" s="1"/>
      <c r="AD416" s="4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</row>
    <row r="417" spans="1:64" ht="15.75" customHeight="1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3"/>
      <c r="X417" s="1"/>
      <c r="Y417" s="1"/>
      <c r="Z417" s="1"/>
      <c r="AA417" s="1"/>
      <c r="AB417" s="1"/>
      <c r="AC417" s="1"/>
      <c r="AD417" s="4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</row>
    <row r="418" spans="1:64" ht="15.75" customHeight="1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3"/>
      <c r="X418" s="1"/>
      <c r="Y418" s="1"/>
      <c r="Z418" s="1"/>
      <c r="AA418" s="1"/>
      <c r="AB418" s="1"/>
      <c r="AC418" s="1"/>
      <c r="AD418" s="4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</row>
    <row r="419" spans="1:64" ht="15.75" customHeight="1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3"/>
      <c r="X419" s="1"/>
      <c r="Y419" s="1"/>
      <c r="Z419" s="1"/>
      <c r="AA419" s="1"/>
      <c r="AB419" s="1"/>
      <c r="AC419" s="1"/>
      <c r="AD419" s="4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</row>
    <row r="420" spans="1:64" ht="15.75" customHeight="1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3"/>
      <c r="X420" s="1"/>
      <c r="Y420" s="1"/>
      <c r="Z420" s="1"/>
      <c r="AA420" s="1"/>
      <c r="AB420" s="1"/>
      <c r="AC420" s="1"/>
      <c r="AD420" s="4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</row>
    <row r="421" spans="1:64" ht="15.75" customHeight="1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3"/>
      <c r="X421" s="1"/>
      <c r="Y421" s="1"/>
      <c r="Z421" s="1"/>
      <c r="AA421" s="1"/>
      <c r="AB421" s="1"/>
      <c r="AC421" s="1"/>
      <c r="AD421" s="4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</row>
    <row r="422" spans="1:64" ht="15.75" customHeight="1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3"/>
      <c r="X422" s="1"/>
      <c r="Y422" s="1"/>
      <c r="Z422" s="1"/>
      <c r="AA422" s="1"/>
      <c r="AB422" s="1"/>
      <c r="AC422" s="1"/>
      <c r="AD422" s="4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</row>
    <row r="423" spans="1:64" ht="15.75" customHeight="1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3"/>
      <c r="X423" s="1"/>
      <c r="Y423" s="1"/>
      <c r="Z423" s="1"/>
      <c r="AA423" s="1"/>
      <c r="AB423" s="1"/>
      <c r="AC423" s="1"/>
      <c r="AD423" s="4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</row>
    <row r="424" spans="1:64" ht="15.75" customHeight="1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3"/>
      <c r="X424" s="1"/>
      <c r="Y424" s="1"/>
      <c r="Z424" s="1"/>
      <c r="AA424" s="1"/>
      <c r="AB424" s="1"/>
      <c r="AC424" s="1"/>
      <c r="AD424" s="4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</row>
    <row r="425" spans="1:64" ht="15.75" customHeight="1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3"/>
      <c r="X425" s="1"/>
      <c r="Y425" s="1"/>
      <c r="Z425" s="1"/>
      <c r="AA425" s="1"/>
      <c r="AB425" s="1"/>
      <c r="AC425" s="1"/>
      <c r="AD425" s="4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</row>
    <row r="426" spans="1:64" ht="15.75" customHeight="1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3"/>
      <c r="X426" s="1"/>
      <c r="Y426" s="1"/>
      <c r="Z426" s="1"/>
      <c r="AA426" s="1"/>
      <c r="AB426" s="1"/>
      <c r="AC426" s="1"/>
      <c r="AD426" s="4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</row>
    <row r="427" spans="1:64" ht="15.75" customHeight="1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3"/>
      <c r="X427" s="1"/>
      <c r="Y427" s="1"/>
      <c r="Z427" s="1"/>
      <c r="AA427" s="1"/>
      <c r="AB427" s="1"/>
      <c r="AC427" s="1"/>
      <c r="AD427" s="4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</row>
    <row r="428" spans="1:64" ht="15.75" customHeight="1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3"/>
      <c r="X428" s="1"/>
      <c r="Y428" s="1"/>
      <c r="Z428" s="1"/>
      <c r="AA428" s="1"/>
      <c r="AB428" s="1"/>
      <c r="AC428" s="1"/>
      <c r="AD428" s="4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</row>
    <row r="429" spans="1:64" ht="15.75" customHeight="1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3"/>
      <c r="X429" s="1"/>
      <c r="Y429" s="1"/>
      <c r="Z429" s="1"/>
      <c r="AA429" s="1"/>
      <c r="AB429" s="1"/>
      <c r="AC429" s="1"/>
      <c r="AD429" s="4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</row>
    <row r="430" spans="1:64" ht="15.75" customHeight="1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3"/>
      <c r="X430" s="1"/>
      <c r="Y430" s="1"/>
      <c r="Z430" s="1"/>
      <c r="AA430" s="1"/>
      <c r="AB430" s="1"/>
      <c r="AC430" s="1"/>
      <c r="AD430" s="4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</row>
    <row r="431" spans="1:64" ht="15.75" customHeight="1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3"/>
      <c r="X431" s="1"/>
      <c r="Y431" s="1"/>
      <c r="Z431" s="1"/>
      <c r="AA431" s="1"/>
      <c r="AB431" s="1"/>
      <c r="AC431" s="1"/>
      <c r="AD431" s="4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</row>
    <row r="432" spans="1:64" ht="15.75" customHeight="1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3"/>
      <c r="X432" s="1"/>
      <c r="Y432" s="1"/>
      <c r="Z432" s="1"/>
      <c r="AA432" s="1"/>
      <c r="AB432" s="1"/>
      <c r="AC432" s="1"/>
      <c r="AD432" s="4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</row>
    <row r="433" spans="1:64" ht="15.75" customHeight="1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3"/>
      <c r="X433" s="1"/>
      <c r="Y433" s="1"/>
      <c r="Z433" s="1"/>
      <c r="AA433" s="1"/>
      <c r="AB433" s="1"/>
      <c r="AC433" s="1"/>
      <c r="AD433" s="4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</row>
    <row r="434" spans="1:64" ht="15.75" customHeight="1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3"/>
      <c r="X434" s="1"/>
      <c r="Y434" s="1"/>
      <c r="Z434" s="1"/>
      <c r="AA434" s="1"/>
      <c r="AB434" s="1"/>
      <c r="AC434" s="1"/>
      <c r="AD434" s="4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</row>
    <row r="435" spans="1:64" ht="15.75" customHeight="1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3"/>
      <c r="X435" s="1"/>
      <c r="Y435" s="1"/>
      <c r="Z435" s="1"/>
      <c r="AA435" s="1"/>
      <c r="AB435" s="1"/>
      <c r="AC435" s="1"/>
      <c r="AD435" s="4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</row>
    <row r="436" spans="1:64" ht="15.75" customHeight="1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3"/>
      <c r="X436" s="1"/>
      <c r="Y436" s="1"/>
      <c r="Z436" s="1"/>
      <c r="AA436" s="1"/>
      <c r="AB436" s="1"/>
      <c r="AC436" s="1"/>
      <c r="AD436" s="4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</row>
    <row r="437" spans="1:64" ht="15.75" customHeight="1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3"/>
      <c r="X437" s="1"/>
      <c r="Y437" s="1"/>
      <c r="Z437" s="1"/>
      <c r="AA437" s="1"/>
      <c r="AB437" s="1"/>
      <c r="AC437" s="1"/>
      <c r="AD437" s="4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</row>
    <row r="438" spans="1:64" ht="15.75" customHeight="1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3"/>
      <c r="X438" s="1"/>
      <c r="Y438" s="1"/>
      <c r="Z438" s="1"/>
      <c r="AA438" s="1"/>
      <c r="AB438" s="1"/>
      <c r="AC438" s="1"/>
      <c r="AD438" s="4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</row>
    <row r="439" spans="1:64" ht="15.75" customHeight="1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3"/>
      <c r="X439" s="1"/>
      <c r="Y439" s="1"/>
      <c r="Z439" s="1"/>
      <c r="AA439" s="1"/>
      <c r="AB439" s="1"/>
      <c r="AC439" s="1"/>
      <c r="AD439" s="4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</row>
    <row r="440" spans="1:64" ht="15.75" customHeight="1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3"/>
      <c r="X440" s="1"/>
      <c r="Y440" s="1"/>
      <c r="Z440" s="1"/>
      <c r="AA440" s="1"/>
      <c r="AB440" s="1"/>
      <c r="AC440" s="1"/>
      <c r="AD440" s="4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</row>
    <row r="441" spans="1:64" ht="15.75" customHeight="1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3"/>
      <c r="X441" s="1"/>
      <c r="Y441" s="1"/>
      <c r="Z441" s="1"/>
      <c r="AA441" s="1"/>
      <c r="AB441" s="1"/>
      <c r="AC441" s="1"/>
      <c r="AD441" s="4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</row>
    <row r="442" spans="1:64" ht="15.75" customHeight="1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3"/>
      <c r="X442" s="1"/>
      <c r="Y442" s="1"/>
      <c r="Z442" s="1"/>
      <c r="AA442" s="1"/>
      <c r="AB442" s="1"/>
      <c r="AC442" s="1"/>
      <c r="AD442" s="4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</row>
    <row r="443" spans="1:64" ht="15.75" customHeight="1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3"/>
      <c r="X443" s="1"/>
      <c r="Y443" s="1"/>
      <c r="Z443" s="1"/>
      <c r="AA443" s="1"/>
      <c r="AB443" s="1"/>
      <c r="AC443" s="1"/>
      <c r="AD443" s="4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</row>
    <row r="444" spans="1:64" ht="15.75" customHeight="1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3"/>
      <c r="X444" s="1"/>
      <c r="Y444" s="1"/>
      <c r="Z444" s="1"/>
      <c r="AA444" s="1"/>
      <c r="AB444" s="1"/>
      <c r="AC444" s="1"/>
      <c r="AD444" s="4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</row>
    <row r="445" spans="1:64" ht="15.75" customHeight="1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3"/>
      <c r="X445" s="1"/>
      <c r="Y445" s="1"/>
      <c r="Z445" s="1"/>
      <c r="AA445" s="1"/>
      <c r="AB445" s="1"/>
      <c r="AC445" s="1"/>
      <c r="AD445" s="4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</row>
    <row r="446" spans="1:64" ht="15.75" customHeight="1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3"/>
      <c r="X446" s="1"/>
      <c r="Y446" s="1"/>
      <c r="Z446" s="1"/>
      <c r="AA446" s="1"/>
      <c r="AB446" s="1"/>
      <c r="AC446" s="1"/>
      <c r="AD446" s="4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</row>
    <row r="447" spans="1:64" ht="15.75" customHeight="1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3"/>
      <c r="X447" s="1"/>
      <c r="Y447" s="1"/>
      <c r="Z447" s="1"/>
      <c r="AA447" s="1"/>
      <c r="AB447" s="1"/>
      <c r="AC447" s="1"/>
      <c r="AD447" s="4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</row>
    <row r="448" spans="1:64" ht="15.75" customHeight="1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3"/>
      <c r="X448" s="1"/>
      <c r="Y448" s="1"/>
      <c r="Z448" s="1"/>
      <c r="AA448" s="1"/>
      <c r="AB448" s="1"/>
      <c r="AC448" s="1"/>
      <c r="AD448" s="4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</row>
    <row r="449" spans="1:64" ht="15.75" customHeight="1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3"/>
      <c r="X449" s="1"/>
      <c r="Y449" s="1"/>
      <c r="Z449" s="1"/>
      <c r="AA449" s="1"/>
      <c r="AB449" s="1"/>
      <c r="AC449" s="1"/>
      <c r="AD449" s="4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</row>
    <row r="450" spans="1:64" ht="15.75" customHeight="1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3"/>
      <c r="X450" s="1"/>
      <c r="Y450" s="1"/>
      <c r="Z450" s="1"/>
      <c r="AA450" s="1"/>
      <c r="AB450" s="1"/>
      <c r="AC450" s="1"/>
      <c r="AD450" s="4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</row>
    <row r="451" spans="1:64" ht="15.75" customHeight="1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3"/>
      <c r="X451" s="1"/>
      <c r="Y451" s="1"/>
      <c r="Z451" s="1"/>
      <c r="AA451" s="1"/>
      <c r="AB451" s="1"/>
      <c r="AC451" s="1"/>
      <c r="AD451" s="4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</row>
    <row r="452" spans="1:64" ht="15.75" customHeight="1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3"/>
      <c r="X452" s="1"/>
      <c r="Y452" s="1"/>
      <c r="Z452" s="1"/>
      <c r="AA452" s="1"/>
      <c r="AB452" s="1"/>
      <c r="AC452" s="1"/>
      <c r="AD452" s="4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</row>
    <row r="453" spans="1:64" ht="15.75" customHeight="1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3"/>
      <c r="X453" s="1"/>
      <c r="Y453" s="1"/>
      <c r="Z453" s="1"/>
      <c r="AA453" s="1"/>
      <c r="AB453" s="1"/>
      <c r="AC453" s="1"/>
      <c r="AD453" s="4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</row>
    <row r="454" spans="1:64" ht="15.75" customHeight="1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3"/>
      <c r="X454" s="1"/>
      <c r="Y454" s="1"/>
      <c r="Z454" s="1"/>
      <c r="AA454" s="1"/>
      <c r="AB454" s="1"/>
      <c r="AC454" s="1"/>
      <c r="AD454" s="4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</row>
    <row r="455" spans="1:64" ht="15.75" customHeight="1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3"/>
      <c r="X455" s="1"/>
      <c r="Y455" s="1"/>
      <c r="Z455" s="1"/>
      <c r="AA455" s="1"/>
      <c r="AB455" s="1"/>
      <c r="AC455" s="1"/>
      <c r="AD455" s="4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</row>
    <row r="456" spans="1:64" ht="15.75" customHeight="1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3"/>
      <c r="X456" s="1"/>
      <c r="Y456" s="1"/>
      <c r="Z456" s="1"/>
      <c r="AA456" s="1"/>
      <c r="AB456" s="1"/>
      <c r="AC456" s="1"/>
      <c r="AD456" s="4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</row>
    <row r="457" spans="1:64" ht="15.75" customHeight="1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3"/>
      <c r="X457" s="1"/>
      <c r="Y457" s="1"/>
      <c r="Z457" s="1"/>
      <c r="AA457" s="1"/>
      <c r="AB457" s="1"/>
      <c r="AC457" s="1"/>
      <c r="AD457" s="4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</row>
    <row r="458" spans="1:64" ht="15.75" customHeight="1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3"/>
      <c r="X458" s="1"/>
      <c r="Y458" s="1"/>
      <c r="Z458" s="1"/>
      <c r="AA458" s="1"/>
      <c r="AB458" s="1"/>
      <c r="AC458" s="1"/>
      <c r="AD458" s="4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</row>
    <row r="459" spans="1:64" ht="15.75" customHeight="1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3"/>
      <c r="X459" s="1"/>
      <c r="Y459" s="1"/>
      <c r="Z459" s="1"/>
      <c r="AA459" s="1"/>
      <c r="AB459" s="1"/>
      <c r="AC459" s="1"/>
      <c r="AD459" s="4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</row>
    <row r="460" spans="1:64" ht="15.75" customHeight="1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3"/>
      <c r="X460" s="1"/>
      <c r="Y460" s="1"/>
      <c r="Z460" s="1"/>
      <c r="AA460" s="1"/>
      <c r="AB460" s="1"/>
      <c r="AC460" s="1"/>
      <c r="AD460" s="4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</row>
    <row r="461" spans="1:64" ht="15.75" customHeight="1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3"/>
      <c r="X461" s="1"/>
      <c r="Y461" s="1"/>
      <c r="Z461" s="1"/>
      <c r="AA461" s="1"/>
      <c r="AB461" s="1"/>
      <c r="AC461" s="1"/>
      <c r="AD461" s="4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</row>
    <row r="462" spans="1:64" ht="15.75" customHeight="1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3"/>
      <c r="X462" s="1"/>
      <c r="Y462" s="1"/>
      <c r="Z462" s="1"/>
      <c r="AA462" s="1"/>
      <c r="AB462" s="1"/>
      <c r="AC462" s="1"/>
      <c r="AD462" s="4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</row>
    <row r="463" spans="1:64" ht="15.75" customHeight="1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3"/>
      <c r="X463" s="1"/>
      <c r="Y463" s="1"/>
      <c r="Z463" s="1"/>
      <c r="AA463" s="1"/>
      <c r="AB463" s="1"/>
      <c r="AC463" s="1"/>
      <c r="AD463" s="4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</row>
    <row r="464" spans="1:64" ht="15.75" customHeight="1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3"/>
      <c r="X464" s="1"/>
      <c r="Y464" s="1"/>
      <c r="Z464" s="1"/>
      <c r="AA464" s="1"/>
      <c r="AB464" s="1"/>
      <c r="AC464" s="1"/>
      <c r="AD464" s="4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</row>
    <row r="465" spans="1:64" ht="15.75" customHeight="1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3"/>
      <c r="X465" s="1"/>
      <c r="Y465" s="1"/>
      <c r="Z465" s="1"/>
      <c r="AA465" s="1"/>
      <c r="AB465" s="1"/>
      <c r="AC465" s="1"/>
      <c r="AD465" s="4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</row>
    <row r="466" spans="1:64" ht="15.75" customHeight="1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3"/>
      <c r="X466" s="1"/>
      <c r="Y466" s="1"/>
      <c r="Z466" s="1"/>
      <c r="AA466" s="1"/>
      <c r="AB466" s="1"/>
      <c r="AC466" s="1"/>
      <c r="AD466" s="4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</row>
    <row r="467" spans="1:64" ht="15.75" customHeight="1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3"/>
      <c r="X467" s="1"/>
      <c r="Y467" s="1"/>
      <c r="Z467" s="1"/>
      <c r="AA467" s="1"/>
      <c r="AB467" s="1"/>
      <c r="AC467" s="1"/>
      <c r="AD467" s="4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</row>
    <row r="468" spans="1:64" ht="15.75" customHeight="1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3"/>
      <c r="X468" s="1"/>
      <c r="Y468" s="1"/>
      <c r="Z468" s="1"/>
      <c r="AA468" s="1"/>
      <c r="AB468" s="1"/>
      <c r="AC468" s="1"/>
      <c r="AD468" s="4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</row>
    <row r="469" spans="1:64" ht="15.75" customHeight="1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3"/>
      <c r="X469" s="1"/>
      <c r="Y469" s="1"/>
      <c r="Z469" s="1"/>
      <c r="AA469" s="1"/>
      <c r="AB469" s="1"/>
      <c r="AC469" s="1"/>
      <c r="AD469" s="4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</row>
    <row r="470" spans="1:64" ht="15.75" customHeight="1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3"/>
      <c r="X470" s="1"/>
      <c r="Y470" s="1"/>
      <c r="Z470" s="1"/>
      <c r="AA470" s="1"/>
      <c r="AB470" s="1"/>
      <c r="AC470" s="1"/>
      <c r="AD470" s="4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</row>
    <row r="471" spans="1:64" ht="15.75" customHeight="1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3"/>
      <c r="X471" s="1"/>
      <c r="Y471" s="1"/>
      <c r="Z471" s="1"/>
      <c r="AA471" s="1"/>
      <c r="AB471" s="1"/>
      <c r="AC471" s="1"/>
      <c r="AD471" s="4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</row>
    <row r="472" spans="1:64" ht="15.75" customHeight="1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3"/>
      <c r="X472" s="1"/>
      <c r="Y472" s="1"/>
      <c r="Z472" s="1"/>
      <c r="AA472" s="1"/>
      <c r="AB472" s="1"/>
      <c r="AC472" s="1"/>
      <c r="AD472" s="4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</row>
    <row r="473" spans="1:64" ht="15.75" customHeight="1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3"/>
      <c r="X473" s="1"/>
      <c r="Y473" s="1"/>
      <c r="Z473" s="1"/>
      <c r="AA473" s="1"/>
      <c r="AB473" s="1"/>
      <c r="AC473" s="1"/>
      <c r="AD473" s="4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</row>
    <row r="474" spans="1:64" ht="15.75" customHeight="1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3"/>
      <c r="X474" s="1"/>
      <c r="Y474" s="1"/>
      <c r="Z474" s="1"/>
      <c r="AA474" s="1"/>
      <c r="AB474" s="1"/>
      <c r="AC474" s="1"/>
      <c r="AD474" s="4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</row>
    <row r="475" spans="1:64" ht="15.75" customHeight="1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3"/>
      <c r="X475" s="1"/>
      <c r="Y475" s="1"/>
      <c r="Z475" s="1"/>
      <c r="AA475" s="1"/>
      <c r="AB475" s="1"/>
      <c r="AC475" s="1"/>
      <c r="AD475" s="4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</row>
    <row r="476" spans="1:64" ht="15.75" customHeight="1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3"/>
      <c r="X476" s="1"/>
      <c r="Y476" s="1"/>
      <c r="Z476" s="1"/>
      <c r="AA476" s="1"/>
      <c r="AB476" s="1"/>
      <c r="AC476" s="1"/>
      <c r="AD476" s="4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</row>
    <row r="477" spans="1:64" ht="15.75" customHeight="1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3"/>
      <c r="X477" s="1"/>
      <c r="Y477" s="1"/>
      <c r="Z477" s="1"/>
      <c r="AA477" s="1"/>
      <c r="AB477" s="1"/>
      <c r="AC477" s="1"/>
      <c r="AD477" s="4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</row>
    <row r="478" spans="1:64" ht="15.75" customHeight="1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3"/>
      <c r="X478" s="1"/>
      <c r="Y478" s="1"/>
      <c r="Z478" s="1"/>
      <c r="AA478" s="1"/>
      <c r="AB478" s="1"/>
      <c r="AC478" s="1"/>
      <c r="AD478" s="4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</row>
    <row r="479" spans="1:64" ht="15.75" customHeight="1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3"/>
      <c r="X479" s="1"/>
      <c r="Y479" s="1"/>
      <c r="Z479" s="1"/>
      <c r="AA479" s="1"/>
      <c r="AB479" s="1"/>
      <c r="AC479" s="1"/>
      <c r="AD479" s="4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</row>
    <row r="480" spans="1:64" ht="15.75" customHeight="1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3"/>
      <c r="X480" s="1"/>
      <c r="Y480" s="1"/>
      <c r="Z480" s="1"/>
      <c r="AA480" s="1"/>
      <c r="AB480" s="1"/>
      <c r="AC480" s="1"/>
      <c r="AD480" s="4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</row>
    <row r="481" spans="1:64" ht="15.75" customHeight="1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3"/>
      <c r="X481" s="1"/>
      <c r="Y481" s="1"/>
      <c r="Z481" s="1"/>
      <c r="AA481" s="1"/>
      <c r="AB481" s="1"/>
      <c r="AC481" s="1"/>
      <c r="AD481" s="4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</row>
    <row r="482" spans="1:64" ht="15.75" customHeight="1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3"/>
      <c r="X482" s="1"/>
      <c r="Y482" s="1"/>
      <c r="Z482" s="1"/>
      <c r="AA482" s="1"/>
      <c r="AB482" s="1"/>
      <c r="AC482" s="1"/>
      <c r="AD482" s="4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</row>
    <row r="483" spans="1:64" ht="15.75" customHeight="1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3"/>
      <c r="X483" s="1"/>
      <c r="Y483" s="1"/>
      <c r="Z483" s="1"/>
      <c r="AA483" s="1"/>
      <c r="AB483" s="1"/>
      <c r="AC483" s="1"/>
      <c r="AD483" s="4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</row>
    <row r="484" spans="1:64" ht="15.75" customHeight="1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3"/>
      <c r="X484" s="1"/>
      <c r="Y484" s="1"/>
      <c r="Z484" s="1"/>
      <c r="AA484" s="1"/>
      <c r="AB484" s="1"/>
      <c r="AC484" s="1"/>
      <c r="AD484" s="4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</row>
    <row r="485" spans="1:64" ht="15.75" customHeight="1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3"/>
      <c r="X485" s="1"/>
      <c r="Y485" s="1"/>
      <c r="Z485" s="1"/>
      <c r="AA485" s="1"/>
      <c r="AB485" s="1"/>
      <c r="AC485" s="1"/>
      <c r="AD485" s="4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</row>
    <row r="486" spans="1:64" ht="15.75" customHeight="1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3"/>
      <c r="X486" s="1"/>
      <c r="Y486" s="1"/>
      <c r="Z486" s="1"/>
      <c r="AA486" s="1"/>
      <c r="AB486" s="1"/>
      <c r="AC486" s="1"/>
      <c r="AD486" s="4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</row>
    <row r="487" spans="1:64" ht="15.75" customHeight="1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3"/>
      <c r="X487" s="1"/>
      <c r="Y487" s="1"/>
      <c r="Z487" s="1"/>
      <c r="AA487" s="1"/>
      <c r="AB487" s="1"/>
      <c r="AC487" s="1"/>
      <c r="AD487" s="4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</row>
    <row r="488" spans="1:64" ht="15.75" customHeight="1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3"/>
      <c r="X488" s="1"/>
      <c r="Y488" s="1"/>
      <c r="Z488" s="1"/>
      <c r="AA488" s="1"/>
      <c r="AB488" s="1"/>
      <c r="AC488" s="1"/>
      <c r="AD488" s="4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</row>
    <row r="489" spans="1:64" ht="15.75" customHeight="1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3"/>
      <c r="X489" s="1"/>
      <c r="Y489" s="1"/>
      <c r="Z489" s="1"/>
      <c r="AA489" s="1"/>
      <c r="AB489" s="1"/>
      <c r="AC489" s="1"/>
      <c r="AD489" s="4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</row>
    <row r="490" spans="1:64" ht="15.75" customHeight="1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3"/>
      <c r="X490" s="1"/>
      <c r="Y490" s="1"/>
      <c r="Z490" s="1"/>
      <c r="AA490" s="1"/>
      <c r="AB490" s="1"/>
      <c r="AC490" s="1"/>
      <c r="AD490" s="4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</row>
    <row r="491" spans="1:64" ht="15.75" customHeight="1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3"/>
      <c r="X491" s="1"/>
      <c r="Y491" s="1"/>
      <c r="Z491" s="1"/>
      <c r="AA491" s="1"/>
      <c r="AB491" s="1"/>
      <c r="AC491" s="1"/>
      <c r="AD491" s="4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</row>
    <row r="492" spans="1:64" ht="15.75" customHeight="1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3"/>
      <c r="X492" s="1"/>
      <c r="Y492" s="1"/>
      <c r="Z492" s="1"/>
      <c r="AA492" s="1"/>
      <c r="AB492" s="1"/>
      <c r="AC492" s="1"/>
      <c r="AD492" s="4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</row>
    <row r="493" spans="1:64" ht="15.75" customHeight="1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3"/>
      <c r="X493" s="1"/>
      <c r="Y493" s="1"/>
      <c r="Z493" s="1"/>
      <c r="AA493" s="1"/>
      <c r="AB493" s="1"/>
      <c r="AC493" s="1"/>
      <c r="AD493" s="4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</row>
    <row r="494" spans="1:64" ht="15.75" customHeight="1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3"/>
      <c r="X494" s="1"/>
      <c r="Y494" s="1"/>
      <c r="Z494" s="1"/>
      <c r="AA494" s="1"/>
      <c r="AB494" s="1"/>
      <c r="AC494" s="1"/>
      <c r="AD494" s="4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</row>
    <row r="495" spans="1:64" ht="15.75" customHeight="1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3"/>
      <c r="X495" s="1"/>
      <c r="Y495" s="1"/>
      <c r="Z495" s="1"/>
      <c r="AA495" s="1"/>
      <c r="AB495" s="1"/>
      <c r="AC495" s="1"/>
      <c r="AD495" s="4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</row>
    <row r="496" spans="1:64" ht="15.75" customHeight="1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3"/>
      <c r="X496" s="1"/>
      <c r="Y496" s="1"/>
      <c r="Z496" s="1"/>
      <c r="AA496" s="1"/>
      <c r="AB496" s="1"/>
      <c r="AC496" s="1"/>
      <c r="AD496" s="4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</row>
    <row r="497" spans="1:64" ht="15.75" customHeight="1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3"/>
      <c r="X497" s="1"/>
      <c r="Y497" s="1"/>
      <c r="Z497" s="1"/>
      <c r="AA497" s="1"/>
      <c r="AB497" s="1"/>
      <c r="AC497" s="1"/>
      <c r="AD497" s="4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</row>
    <row r="498" spans="1:64" ht="15.75" customHeight="1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3"/>
      <c r="X498" s="1"/>
      <c r="Y498" s="1"/>
      <c r="Z498" s="1"/>
      <c r="AA498" s="1"/>
      <c r="AB498" s="1"/>
      <c r="AC498" s="1"/>
      <c r="AD498" s="4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</row>
    <row r="499" spans="1:64" ht="15.75" customHeight="1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3"/>
      <c r="X499" s="1"/>
      <c r="Y499" s="1"/>
      <c r="Z499" s="1"/>
      <c r="AA499" s="1"/>
      <c r="AB499" s="1"/>
      <c r="AC499" s="1"/>
      <c r="AD499" s="4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</row>
    <row r="500" spans="1:64" ht="15.75" customHeight="1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3"/>
      <c r="X500" s="1"/>
      <c r="Y500" s="1"/>
      <c r="Z500" s="1"/>
      <c r="AA500" s="1"/>
      <c r="AB500" s="1"/>
      <c r="AC500" s="1"/>
      <c r="AD500" s="4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</row>
    <row r="501" spans="1:64" ht="15.75" customHeight="1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3"/>
      <c r="X501" s="1"/>
      <c r="Y501" s="1"/>
      <c r="Z501" s="1"/>
      <c r="AA501" s="1"/>
      <c r="AB501" s="1"/>
      <c r="AC501" s="1"/>
      <c r="AD501" s="4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</row>
    <row r="502" spans="1:64" ht="15.75" customHeight="1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3"/>
      <c r="X502" s="1"/>
      <c r="Y502" s="1"/>
      <c r="Z502" s="1"/>
      <c r="AA502" s="1"/>
      <c r="AB502" s="1"/>
      <c r="AC502" s="1"/>
      <c r="AD502" s="4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</row>
    <row r="503" spans="1:64" ht="15.75" customHeight="1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3"/>
      <c r="X503" s="1"/>
      <c r="Y503" s="1"/>
      <c r="Z503" s="1"/>
      <c r="AA503" s="1"/>
      <c r="AB503" s="1"/>
      <c r="AC503" s="1"/>
      <c r="AD503" s="4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</row>
    <row r="504" spans="1:64" ht="15.75" customHeight="1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3"/>
      <c r="X504" s="1"/>
      <c r="Y504" s="1"/>
      <c r="Z504" s="1"/>
      <c r="AA504" s="1"/>
      <c r="AB504" s="1"/>
      <c r="AC504" s="1"/>
      <c r="AD504" s="4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</row>
    <row r="505" spans="1:64" ht="15.75" customHeight="1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3"/>
      <c r="X505" s="1"/>
      <c r="Y505" s="1"/>
      <c r="Z505" s="1"/>
      <c r="AA505" s="1"/>
      <c r="AB505" s="1"/>
      <c r="AC505" s="1"/>
      <c r="AD505" s="4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</row>
    <row r="506" spans="1:64" ht="15.75" customHeight="1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3"/>
      <c r="X506" s="1"/>
      <c r="Y506" s="1"/>
      <c r="Z506" s="1"/>
      <c r="AA506" s="1"/>
      <c r="AB506" s="1"/>
      <c r="AC506" s="1"/>
      <c r="AD506" s="4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</row>
    <row r="507" spans="1:64" ht="15.75" customHeight="1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3"/>
      <c r="X507" s="1"/>
      <c r="Y507" s="1"/>
      <c r="Z507" s="1"/>
      <c r="AA507" s="1"/>
      <c r="AB507" s="1"/>
      <c r="AC507" s="1"/>
      <c r="AD507" s="4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</row>
    <row r="508" spans="1:64" ht="15.75" customHeight="1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3"/>
      <c r="X508" s="1"/>
      <c r="Y508" s="1"/>
      <c r="Z508" s="1"/>
      <c r="AA508" s="1"/>
      <c r="AB508" s="1"/>
      <c r="AC508" s="1"/>
      <c r="AD508" s="4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</row>
    <row r="509" spans="1:64" ht="15.75" customHeight="1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3"/>
      <c r="X509" s="1"/>
      <c r="Y509" s="1"/>
      <c r="Z509" s="1"/>
      <c r="AA509" s="1"/>
      <c r="AB509" s="1"/>
      <c r="AC509" s="1"/>
      <c r="AD509" s="4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</row>
    <row r="510" spans="1:64" ht="15.75" customHeight="1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3"/>
      <c r="X510" s="1"/>
      <c r="Y510" s="1"/>
      <c r="Z510" s="1"/>
      <c r="AA510" s="1"/>
      <c r="AB510" s="1"/>
      <c r="AC510" s="1"/>
      <c r="AD510" s="4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</row>
    <row r="511" spans="1:64" ht="15.75" customHeight="1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3"/>
      <c r="X511" s="1"/>
      <c r="Y511" s="1"/>
      <c r="Z511" s="1"/>
      <c r="AA511" s="1"/>
      <c r="AB511" s="1"/>
      <c r="AC511" s="1"/>
      <c r="AD511" s="4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</row>
    <row r="512" spans="1:64" ht="15.75" customHeight="1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3"/>
      <c r="X512" s="1"/>
      <c r="Y512" s="1"/>
      <c r="Z512" s="1"/>
      <c r="AA512" s="1"/>
      <c r="AB512" s="1"/>
      <c r="AC512" s="1"/>
      <c r="AD512" s="4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</row>
    <row r="513" spans="1:64" ht="15.75" customHeight="1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3"/>
      <c r="X513" s="1"/>
      <c r="Y513" s="1"/>
      <c r="Z513" s="1"/>
      <c r="AA513" s="1"/>
      <c r="AB513" s="1"/>
      <c r="AC513" s="1"/>
      <c r="AD513" s="4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</row>
    <row r="514" spans="1:64" ht="15.75" customHeight="1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3"/>
      <c r="X514" s="1"/>
      <c r="Y514" s="1"/>
      <c r="Z514" s="1"/>
      <c r="AA514" s="1"/>
      <c r="AB514" s="1"/>
      <c r="AC514" s="1"/>
      <c r="AD514" s="4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</row>
    <row r="515" spans="1:64" ht="15.75" customHeight="1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3"/>
      <c r="X515" s="1"/>
      <c r="Y515" s="1"/>
      <c r="Z515" s="1"/>
      <c r="AA515" s="1"/>
      <c r="AB515" s="1"/>
      <c r="AC515" s="1"/>
      <c r="AD515" s="4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</row>
    <row r="516" spans="1:64" ht="15.75" customHeight="1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3"/>
      <c r="X516" s="1"/>
      <c r="Y516" s="1"/>
      <c r="Z516" s="1"/>
      <c r="AA516" s="1"/>
      <c r="AB516" s="1"/>
      <c r="AC516" s="1"/>
      <c r="AD516" s="4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</row>
    <row r="517" spans="1:64" ht="15.75" customHeight="1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3"/>
      <c r="X517" s="1"/>
      <c r="Y517" s="1"/>
      <c r="Z517" s="1"/>
      <c r="AA517" s="1"/>
      <c r="AB517" s="1"/>
      <c r="AC517" s="1"/>
      <c r="AD517" s="4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</row>
    <row r="518" spans="1:64" ht="15.75" customHeight="1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3"/>
      <c r="X518" s="1"/>
      <c r="Y518" s="1"/>
      <c r="Z518" s="1"/>
      <c r="AA518" s="1"/>
      <c r="AB518" s="1"/>
      <c r="AC518" s="1"/>
      <c r="AD518" s="4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</row>
    <row r="519" spans="1:64" ht="15.75" customHeight="1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3"/>
      <c r="X519" s="1"/>
      <c r="Y519" s="1"/>
      <c r="Z519" s="1"/>
      <c r="AA519" s="1"/>
      <c r="AB519" s="1"/>
      <c r="AC519" s="1"/>
      <c r="AD519" s="4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</row>
    <row r="520" spans="1:64" ht="15.75" customHeight="1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3"/>
      <c r="X520" s="1"/>
      <c r="Y520" s="1"/>
      <c r="Z520" s="1"/>
      <c r="AA520" s="1"/>
      <c r="AB520" s="1"/>
      <c r="AC520" s="1"/>
      <c r="AD520" s="4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</row>
    <row r="521" spans="1:64" ht="15.75" customHeight="1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3"/>
      <c r="X521" s="1"/>
      <c r="Y521" s="1"/>
      <c r="Z521" s="1"/>
      <c r="AA521" s="1"/>
      <c r="AB521" s="1"/>
      <c r="AC521" s="1"/>
      <c r="AD521" s="4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</row>
    <row r="522" spans="1:64" ht="15.75" customHeight="1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3"/>
      <c r="X522" s="1"/>
      <c r="Y522" s="1"/>
      <c r="Z522" s="1"/>
      <c r="AA522" s="1"/>
      <c r="AB522" s="1"/>
      <c r="AC522" s="1"/>
      <c r="AD522" s="4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</row>
    <row r="523" spans="1:64" ht="15.75" customHeight="1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3"/>
      <c r="X523" s="1"/>
      <c r="Y523" s="1"/>
      <c r="Z523" s="1"/>
      <c r="AA523" s="1"/>
      <c r="AB523" s="1"/>
      <c r="AC523" s="1"/>
      <c r="AD523" s="4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</row>
    <row r="524" spans="1:64" ht="15.75" customHeight="1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3"/>
      <c r="X524" s="1"/>
      <c r="Y524" s="1"/>
      <c r="Z524" s="1"/>
      <c r="AA524" s="1"/>
      <c r="AB524" s="1"/>
      <c r="AC524" s="1"/>
      <c r="AD524" s="4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</row>
    <row r="525" spans="1:64" ht="15.75" customHeight="1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3"/>
      <c r="X525" s="1"/>
      <c r="Y525" s="1"/>
      <c r="Z525" s="1"/>
      <c r="AA525" s="1"/>
      <c r="AB525" s="1"/>
      <c r="AC525" s="1"/>
      <c r="AD525" s="4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</row>
    <row r="526" spans="1:64" ht="15.75" customHeight="1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3"/>
      <c r="X526" s="1"/>
      <c r="Y526" s="1"/>
      <c r="Z526" s="1"/>
      <c r="AA526" s="1"/>
      <c r="AB526" s="1"/>
      <c r="AC526" s="1"/>
      <c r="AD526" s="4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</row>
    <row r="527" spans="1:64" ht="15.75" customHeight="1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3"/>
      <c r="X527" s="1"/>
      <c r="Y527" s="1"/>
      <c r="Z527" s="1"/>
      <c r="AA527" s="1"/>
      <c r="AB527" s="1"/>
      <c r="AC527" s="1"/>
      <c r="AD527" s="4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</row>
    <row r="528" spans="1:64" ht="15.75" customHeight="1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3"/>
      <c r="X528" s="1"/>
      <c r="Y528" s="1"/>
      <c r="Z528" s="1"/>
      <c r="AA528" s="1"/>
      <c r="AB528" s="1"/>
      <c r="AC528" s="1"/>
      <c r="AD528" s="4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</row>
    <row r="529" spans="1:64" ht="15.75" customHeight="1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3"/>
      <c r="X529" s="1"/>
      <c r="Y529" s="1"/>
      <c r="Z529" s="1"/>
      <c r="AA529" s="1"/>
      <c r="AB529" s="1"/>
      <c r="AC529" s="1"/>
      <c r="AD529" s="4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</row>
    <row r="530" spans="1:64" ht="15.75" customHeight="1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3"/>
      <c r="X530" s="1"/>
      <c r="Y530" s="1"/>
      <c r="Z530" s="1"/>
      <c r="AA530" s="1"/>
      <c r="AB530" s="1"/>
      <c r="AC530" s="1"/>
      <c r="AD530" s="4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</row>
    <row r="531" spans="1:64" ht="15.75" customHeight="1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3"/>
      <c r="X531" s="1"/>
      <c r="Y531" s="1"/>
      <c r="Z531" s="1"/>
      <c r="AA531" s="1"/>
      <c r="AB531" s="1"/>
      <c r="AC531" s="1"/>
      <c r="AD531" s="4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</row>
    <row r="532" spans="1:64" ht="15.75" customHeight="1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3"/>
      <c r="X532" s="1"/>
      <c r="Y532" s="1"/>
      <c r="Z532" s="1"/>
      <c r="AA532" s="1"/>
      <c r="AB532" s="1"/>
      <c r="AC532" s="1"/>
      <c r="AD532" s="4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</row>
    <row r="533" spans="1:64" ht="15.75" customHeight="1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3"/>
      <c r="X533" s="1"/>
      <c r="Y533" s="1"/>
      <c r="Z533" s="1"/>
      <c r="AA533" s="1"/>
      <c r="AB533" s="1"/>
      <c r="AC533" s="1"/>
      <c r="AD533" s="4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</row>
    <row r="534" spans="1:64" ht="15.75" customHeight="1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3"/>
      <c r="X534" s="1"/>
      <c r="Y534" s="1"/>
      <c r="Z534" s="1"/>
      <c r="AA534" s="1"/>
      <c r="AB534" s="1"/>
      <c r="AC534" s="1"/>
      <c r="AD534" s="4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</row>
    <row r="535" spans="1:64" ht="15.75" customHeight="1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3"/>
      <c r="X535" s="1"/>
      <c r="Y535" s="1"/>
      <c r="Z535" s="1"/>
      <c r="AA535" s="1"/>
      <c r="AB535" s="1"/>
      <c r="AC535" s="1"/>
      <c r="AD535" s="4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</row>
    <row r="536" spans="1:64" ht="15.75" customHeight="1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3"/>
      <c r="X536" s="1"/>
      <c r="Y536" s="1"/>
      <c r="Z536" s="1"/>
      <c r="AA536" s="1"/>
      <c r="AB536" s="1"/>
      <c r="AC536" s="1"/>
      <c r="AD536" s="4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</row>
    <row r="537" spans="1:64" ht="15.75" customHeight="1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3"/>
      <c r="X537" s="1"/>
      <c r="Y537" s="1"/>
      <c r="Z537" s="1"/>
      <c r="AA537" s="1"/>
      <c r="AB537" s="1"/>
      <c r="AC537" s="1"/>
      <c r="AD537" s="4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</row>
    <row r="538" spans="1:64" ht="15.75" customHeight="1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3"/>
      <c r="X538" s="1"/>
      <c r="Y538" s="1"/>
      <c r="Z538" s="1"/>
      <c r="AA538" s="1"/>
      <c r="AB538" s="1"/>
      <c r="AC538" s="1"/>
      <c r="AD538" s="4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</row>
    <row r="539" spans="1:64" ht="15.75" customHeight="1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3"/>
      <c r="X539" s="1"/>
      <c r="Y539" s="1"/>
      <c r="Z539" s="1"/>
      <c r="AA539" s="1"/>
      <c r="AB539" s="1"/>
      <c r="AC539" s="1"/>
      <c r="AD539" s="4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</row>
    <row r="540" spans="1:64" ht="15.75" customHeight="1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3"/>
      <c r="X540" s="1"/>
      <c r="Y540" s="1"/>
      <c r="Z540" s="1"/>
      <c r="AA540" s="1"/>
      <c r="AB540" s="1"/>
      <c r="AC540" s="1"/>
      <c r="AD540" s="4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</row>
    <row r="541" spans="1:64" ht="15.75" customHeight="1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3"/>
      <c r="X541" s="1"/>
      <c r="Y541" s="1"/>
      <c r="Z541" s="1"/>
      <c r="AA541" s="1"/>
      <c r="AB541" s="1"/>
      <c r="AC541" s="1"/>
      <c r="AD541" s="4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</row>
    <row r="542" spans="1:64" ht="15.75" customHeight="1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3"/>
      <c r="X542" s="1"/>
      <c r="Y542" s="1"/>
      <c r="Z542" s="1"/>
      <c r="AA542" s="1"/>
      <c r="AB542" s="1"/>
      <c r="AC542" s="1"/>
      <c r="AD542" s="4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</row>
    <row r="543" spans="1:64" ht="15.75" customHeight="1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3"/>
      <c r="X543" s="1"/>
      <c r="Y543" s="1"/>
      <c r="Z543" s="1"/>
      <c r="AA543" s="1"/>
      <c r="AB543" s="1"/>
      <c r="AC543" s="1"/>
      <c r="AD543" s="4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</row>
    <row r="544" spans="1:64" ht="15.75" customHeight="1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3"/>
      <c r="X544" s="1"/>
      <c r="Y544" s="1"/>
      <c r="Z544" s="1"/>
      <c r="AA544" s="1"/>
      <c r="AB544" s="1"/>
      <c r="AC544" s="1"/>
      <c r="AD544" s="4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</row>
    <row r="545" spans="1:64" ht="15.75" customHeight="1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3"/>
      <c r="X545" s="1"/>
      <c r="Y545" s="1"/>
      <c r="Z545" s="1"/>
      <c r="AA545" s="1"/>
      <c r="AB545" s="1"/>
      <c r="AC545" s="1"/>
      <c r="AD545" s="4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</row>
    <row r="546" spans="1:64" ht="15.75" customHeight="1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3"/>
      <c r="X546" s="1"/>
      <c r="Y546" s="1"/>
      <c r="Z546" s="1"/>
      <c r="AA546" s="1"/>
      <c r="AB546" s="1"/>
      <c r="AC546" s="1"/>
      <c r="AD546" s="4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</row>
    <row r="547" spans="1:64" ht="15.75" customHeight="1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3"/>
      <c r="X547" s="1"/>
      <c r="Y547" s="1"/>
      <c r="Z547" s="1"/>
      <c r="AA547" s="1"/>
      <c r="AB547" s="1"/>
      <c r="AC547" s="1"/>
      <c r="AD547" s="4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</row>
    <row r="548" spans="1:64" ht="15.75" customHeight="1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3"/>
      <c r="X548" s="1"/>
      <c r="Y548" s="1"/>
      <c r="Z548" s="1"/>
      <c r="AA548" s="1"/>
      <c r="AB548" s="1"/>
      <c r="AC548" s="1"/>
      <c r="AD548" s="4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</row>
    <row r="549" spans="1:64" ht="15.75" customHeight="1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3"/>
      <c r="X549" s="1"/>
      <c r="Y549" s="1"/>
      <c r="Z549" s="1"/>
      <c r="AA549" s="1"/>
      <c r="AB549" s="1"/>
      <c r="AC549" s="1"/>
      <c r="AD549" s="4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</row>
    <row r="550" spans="1:64" ht="15.75" customHeight="1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3"/>
      <c r="X550" s="1"/>
      <c r="Y550" s="1"/>
      <c r="Z550" s="1"/>
      <c r="AA550" s="1"/>
      <c r="AB550" s="1"/>
      <c r="AC550" s="1"/>
      <c r="AD550" s="4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</row>
    <row r="551" spans="1:64" ht="15.75" customHeight="1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3"/>
      <c r="X551" s="1"/>
      <c r="Y551" s="1"/>
      <c r="Z551" s="1"/>
      <c r="AA551" s="1"/>
      <c r="AB551" s="1"/>
      <c r="AC551" s="1"/>
      <c r="AD551" s="4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</row>
    <row r="552" spans="1:64" ht="15.75" customHeight="1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3"/>
      <c r="X552" s="1"/>
      <c r="Y552" s="1"/>
      <c r="Z552" s="1"/>
      <c r="AA552" s="1"/>
      <c r="AB552" s="1"/>
      <c r="AC552" s="1"/>
      <c r="AD552" s="4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</row>
    <row r="553" spans="1:64" ht="15.75" customHeight="1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3"/>
      <c r="X553" s="1"/>
      <c r="Y553" s="1"/>
      <c r="Z553" s="1"/>
      <c r="AA553" s="1"/>
      <c r="AB553" s="1"/>
      <c r="AC553" s="1"/>
      <c r="AD553" s="4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</row>
    <row r="554" spans="1:64" ht="15.75" customHeight="1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3"/>
      <c r="X554" s="1"/>
      <c r="Y554" s="1"/>
      <c r="Z554" s="1"/>
      <c r="AA554" s="1"/>
      <c r="AB554" s="1"/>
      <c r="AC554" s="1"/>
      <c r="AD554" s="4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</row>
    <row r="555" spans="1:64" ht="15.75" customHeight="1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3"/>
      <c r="X555" s="1"/>
      <c r="Y555" s="1"/>
      <c r="Z555" s="1"/>
      <c r="AA555" s="1"/>
      <c r="AB555" s="1"/>
      <c r="AC555" s="1"/>
      <c r="AD555" s="4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</row>
    <row r="556" spans="1:64" ht="15.75" customHeight="1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3"/>
      <c r="X556" s="1"/>
      <c r="Y556" s="1"/>
      <c r="Z556" s="1"/>
      <c r="AA556" s="1"/>
      <c r="AB556" s="1"/>
      <c r="AC556" s="1"/>
      <c r="AD556" s="4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</row>
    <row r="557" spans="1:64" ht="15.75" customHeight="1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3"/>
      <c r="X557" s="1"/>
      <c r="Y557" s="1"/>
      <c r="Z557" s="1"/>
      <c r="AA557" s="1"/>
      <c r="AB557" s="1"/>
      <c r="AC557" s="1"/>
      <c r="AD557" s="4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</row>
    <row r="558" spans="1:64" ht="15.75" customHeight="1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3"/>
      <c r="X558" s="1"/>
      <c r="Y558" s="1"/>
      <c r="Z558" s="1"/>
      <c r="AA558" s="1"/>
      <c r="AB558" s="1"/>
      <c r="AC558" s="1"/>
      <c r="AD558" s="4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</row>
    <row r="559" spans="1:64" ht="15.75" customHeight="1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3"/>
      <c r="X559" s="1"/>
      <c r="Y559" s="1"/>
      <c r="Z559" s="1"/>
      <c r="AA559" s="1"/>
      <c r="AB559" s="1"/>
      <c r="AC559" s="1"/>
      <c r="AD559" s="4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</row>
    <row r="560" spans="1:64" ht="15.75" customHeight="1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3"/>
      <c r="X560" s="1"/>
      <c r="Y560" s="1"/>
      <c r="Z560" s="1"/>
      <c r="AA560" s="1"/>
      <c r="AB560" s="1"/>
      <c r="AC560" s="1"/>
      <c r="AD560" s="4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</row>
    <row r="561" spans="1:64" ht="15.75" customHeight="1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3"/>
      <c r="X561" s="1"/>
      <c r="Y561" s="1"/>
      <c r="Z561" s="1"/>
      <c r="AA561" s="1"/>
      <c r="AB561" s="1"/>
      <c r="AC561" s="1"/>
      <c r="AD561" s="4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</row>
    <row r="562" spans="1:64" ht="15.75" customHeight="1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3"/>
      <c r="X562" s="1"/>
      <c r="Y562" s="1"/>
      <c r="Z562" s="1"/>
      <c r="AA562" s="1"/>
      <c r="AB562" s="1"/>
      <c r="AC562" s="1"/>
      <c r="AD562" s="4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</row>
    <row r="563" spans="1:64" ht="15.75" customHeight="1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3"/>
      <c r="X563" s="1"/>
      <c r="Y563" s="1"/>
      <c r="Z563" s="1"/>
      <c r="AA563" s="1"/>
      <c r="AB563" s="1"/>
      <c r="AC563" s="1"/>
      <c r="AD563" s="4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</row>
    <row r="564" spans="1:64" ht="15.75" customHeight="1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3"/>
      <c r="X564" s="1"/>
      <c r="Y564" s="1"/>
      <c r="Z564" s="1"/>
      <c r="AA564" s="1"/>
      <c r="AB564" s="1"/>
      <c r="AC564" s="1"/>
      <c r="AD564" s="4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</row>
    <row r="565" spans="1:64" ht="15.75" customHeight="1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3"/>
      <c r="X565" s="1"/>
      <c r="Y565" s="1"/>
      <c r="Z565" s="1"/>
      <c r="AA565" s="1"/>
      <c r="AB565" s="1"/>
      <c r="AC565" s="1"/>
      <c r="AD565" s="4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</row>
    <row r="566" spans="1:64" ht="15.75" customHeight="1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3"/>
      <c r="X566" s="1"/>
      <c r="Y566" s="1"/>
      <c r="Z566" s="1"/>
      <c r="AA566" s="1"/>
      <c r="AB566" s="1"/>
      <c r="AC566" s="1"/>
      <c r="AD566" s="4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</row>
    <row r="567" spans="1:64" ht="15.75" customHeight="1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3"/>
      <c r="X567" s="1"/>
      <c r="Y567" s="1"/>
      <c r="Z567" s="1"/>
      <c r="AA567" s="1"/>
      <c r="AB567" s="1"/>
      <c r="AC567" s="1"/>
      <c r="AD567" s="4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</row>
    <row r="568" spans="1:64" ht="15.75" customHeight="1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3"/>
      <c r="X568" s="1"/>
      <c r="Y568" s="1"/>
      <c r="Z568" s="1"/>
      <c r="AA568" s="1"/>
      <c r="AB568" s="1"/>
      <c r="AC568" s="1"/>
      <c r="AD568" s="4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</row>
    <row r="569" spans="1:64" ht="15.75" customHeight="1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3"/>
      <c r="X569" s="1"/>
      <c r="Y569" s="1"/>
      <c r="Z569" s="1"/>
      <c r="AA569" s="1"/>
      <c r="AB569" s="1"/>
      <c r="AC569" s="1"/>
      <c r="AD569" s="4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</row>
    <row r="570" spans="1:64" ht="15.75" customHeight="1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3"/>
      <c r="X570" s="1"/>
      <c r="Y570" s="1"/>
      <c r="Z570" s="1"/>
      <c r="AA570" s="1"/>
      <c r="AB570" s="1"/>
      <c r="AC570" s="1"/>
      <c r="AD570" s="4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</row>
    <row r="571" spans="1:64" ht="15.75" customHeight="1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3"/>
      <c r="X571" s="1"/>
      <c r="Y571" s="1"/>
      <c r="Z571" s="1"/>
      <c r="AA571" s="1"/>
      <c r="AB571" s="1"/>
      <c r="AC571" s="1"/>
      <c r="AD571" s="4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</row>
    <row r="572" spans="1:64" ht="15.75" customHeight="1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3"/>
      <c r="X572" s="1"/>
      <c r="Y572" s="1"/>
      <c r="Z572" s="1"/>
      <c r="AA572" s="1"/>
      <c r="AB572" s="1"/>
      <c r="AC572" s="1"/>
      <c r="AD572" s="4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</row>
    <row r="573" spans="1:64" ht="15.75" customHeight="1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3"/>
      <c r="X573" s="1"/>
      <c r="Y573" s="1"/>
      <c r="Z573" s="1"/>
      <c r="AA573" s="1"/>
      <c r="AB573" s="1"/>
      <c r="AC573" s="1"/>
      <c r="AD573" s="4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</row>
    <row r="574" spans="1:64" ht="15.75" customHeight="1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3"/>
      <c r="X574" s="1"/>
      <c r="Y574" s="1"/>
      <c r="Z574" s="1"/>
      <c r="AA574" s="1"/>
      <c r="AB574" s="1"/>
      <c r="AC574" s="1"/>
      <c r="AD574" s="4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</row>
    <row r="575" spans="1:64" ht="15.75" customHeight="1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3"/>
      <c r="X575" s="1"/>
      <c r="Y575" s="1"/>
      <c r="Z575" s="1"/>
      <c r="AA575" s="1"/>
      <c r="AB575" s="1"/>
      <c r="AC575" s="1"/>
      <c r="AD575" s="4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</row>
    <row r="576" spans="1:64" ht="15.75" customHeight="1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3"/>
      <c r="X576" s="1"/>
      <c r="Y576" s="1"/>
      <c r="Z576" s="1"/>
      <c r="AA576" s="1"/>
      <c r="AB576" s="1"/>
      <c r="AC576" s="1"/>
      <c r="AD576" s="4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</row>
    <row r="577" spans="1:64" ht="15.75" customHeight="1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3"/>
      <c r="X577" s="1"/>
      <c r="Y577" s="1"/>
      <c r="Z577" s="1"/>
      <c r="AA577" s="1"/>
      <c r="AB577" s="1"/>
      <c r="AC577" s="1"/>
      <c r="AD577" s="4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</row>
    <row r="578" spans="1:64" ht="15.75" customHeight="1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3"/>
      <c r="X578" s="1"/>
      <c r="Y578" s="1"/>
      <c r="Z578" s="1"/>
      <c r="AA578" s="1"/>
      <c r="AB578" s="1"/>
      <c r="AC578" s="1"/>
      <c r="AD578" s="4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</row>
    <row r="579" spans="1:64" ht="15.75" customHeight="1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3"/>
      <c r="X579" s="1"/>
      <c r="Y579" s="1"/>
      <c r="Z579" s="1"/>
      <c r="AA579" s="1"/>
      <c r="AB579" s="1"/>
      <c r="AC579" s="1"/>
      <c r="AD579" s="4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</row>
    <row r="580" spans="1:64" ht="15.75" customHeight="1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3"/>
      <c r="X580" s="1"/>
      <c r="Y580" s="1"/>
      <c r="Z580" s="1"/>
      <c r="AA580" s="1"/>
      <c r="AB580" s="1"/>
      <c r="AC580" s="1"/>
      <c r="AD580" s="4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</row>
    <row r="581" spans="1:64" ht="15.75" customHeight="1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3"/>
      <c r="X581" s="1"/>
      <c r="Y581" s="1"/>
      <c r="Z581" s="1"/>
      <c r="AA581" s="1"/>
      <c r="AB581" s="1"/>
      <c r="AC581" s="1"/>
      <c r="AD581" s="4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</row>
    <row r="582" spans="1:64" ht="15.75" customHeight="1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3"/>
      <c r="X582" s="1"/>
      <c r="Y582" s="1"/>
      <c r="Z582" s="1"/>
      <c r="AA582" s="1"/>
      <c r="AB582" s="1"/>
      <c r="AC582" s="1"/>
      <c r="AD582" s="4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</row>
    <row r="583" spans="1:64" ht="15.75" customHeight="1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3"/>
      <c r="X583" s="1"/>
      <c r="Y583" s="1"/>
      <c r="Z583" s="1"/>
      <c r="AA583" s="1"/>
      <c r="AB583" s="1"/>
      <c r="AC583" s="1"/>
      <c r="AD583" s="4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</row>
    <row r="584" spans="1:64" ht="15.75" customHeight="1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3"/>
      <c r="X584" s="1"/>
      <c r="Y584" s="1"/>
      <c r="Z584" s="1"/>
      <c r="AA584" s="1"/>
      <c r="AB584" s="1"/>
      <c r="AC584" s="1"/>
      <c r="AD584" s="4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</row>
    <row r="585" spans="1:64" ht="15.75" customHeight="1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3"/>
      <c r="X585" s="1"/>
      <c r="Y585" s="1"/>
      <c r="Z585" s="1"/>
      <c r="AA585" s="1"/>
      <c r="AB585" s="1"/>
      <c r="AC585" s="1"/>
      <c r="AD585" s="4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</row>
    <row r="586" spans="1:64" ht="15.75" customHeight="1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3"/>
      <c r="X586" s="1"/>
      <c r="Y586" s="1"/>
      <c r="Z586" s="1"/>
      <c r="AA586" s="1"/>
      <c r="AB586" s="1"/>
      <c r="AC586" s="1"/>
      <c r="AD586" s="4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</row>
    <row r="587" spans="1:64" ht="15.75" customHeight="1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3"/>
      <c r="X587" s="1"/>
      <c r="Y587" s="1"/>
      <c r="Z587" s="1"/>
      <c r="AA587" s="1"/>
      <c r="AB587" s="1"/>
      <c r="AC587" s="1"/>
      <c r="AD587" s="4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</row>
    <row r="588" spans="1:64" ht="15.75" customHeight="1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3"/>
      <c r="X588" s="1"/>
      <c r="Y588" s="1"/>
      <c r="Z588" s="1"/>
      <c r="AA588" s="1"/>
      <c r="AB588" s="1"/>
      <c r="AC588" s="1"/>
      <c r="AD588" s="4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</row>
    <row r="589" spans="1:64" ht="15.75" customHeight="1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3"/>
      <c r="X589" s="1"/>
      <c r="Y589" s="1"/>
      <c r="Z589" s="1"/>
      <c r="AA589" s="1"/>
      <c r="AB589" s="1"/>
      <c r="AC589" s="1"/>
      <c r="AD589" s="4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</row>
    <row r="590" spans="1:64" ht="15.75" customHeight="1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3"/>
      <c r="X590" s="1"/>
      <c r="Y590" s="1"/>
      <c r="Z590" s="1"/>
      <c r="AA590" s="1"/>
      <c r="AB590" s="1"/>
      <c r="AC590" s="1"/>
      <c r="AD590" s="4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</row>
    <row r="591" spans="1:64" ht="15.75" customHeight="1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3"/>
      <c r="X591" s="1"/>
      <c r="Y591" s="1"/>
      <c r="Z591" s="1"/>
      <c r="AA591" s="1"/>
      <c r="AB591" s="1"/>
      <c r="AC591" s="1"/>
      <c r="AD591" s="4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</row>
    <row r="592" spans="1:64" ht="15.75" customHeight="1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3"/>
      <c r="X592" s="1"/>
      <c r="Y592" s="1"/>
      <c r="Z592" s="1"/>
      <c r="AA592" s="1"/>
      <c r="AB592" s="1"/>
      <c r="AC592" s="1"/>
      <c r="AD592" s="4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</row>
    <row r="593" spans="1:64" ht="15.75" customHeight="1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3"/>
      <c r="X593" s="1"/>
      <c r="Y593" s="1"/>
      <c r="Z593" s="1"/>
      <c r="AA593" s="1"/>
      <c r="AB593" s="1"/>
      <c r="AC593" s="1"/>
      <c r="AD593" s="4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</row>
    <row r="594" spans="1:64" ht="15.75" customHeight="1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3"/>
      <c r="X594" s="1"/>
      <c r="Y594" s="1"/>
      <c r="Z594" s="1"/>
      <c r="AA594" s="1"/>
      <c r="AB594" s="1"/>
      <c r="AC594" s="1"/>
      <c r="AD594" s="4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</row>
    <row r="595" spans="1:64" ht="15.75" customHeight="1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3"/>
      <c r="X595" s="1"/>
      <c r="Y595" s="1"/>
      <c r="Z595" s="1"/>
      <c r="AA595" s="1"/>
      <c r="AB595" s="1"/>
      <c r="AC595" s="1"/>
      <c r="AD595" s="4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</row>
    <row r="596" spans="1:64" ht="15.75" customHeight="1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3"/>
      <c r="X596" s="1"/>
      <c r="Y596" s="1"/>
      <c r="Z596" s="1"/>
      <c r="AA596" s="1"/>
      <c r="AB596" s="1"/>
      <c r="AC596" s="1"/>
      <c r="AD596" s="4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</row>
    <row r="597" spans="1:64" ht="15.75" customHeight="1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3"/>
      <c r="X597" s="1"/>
      <c r="Y597" s="1"/>
      <c r="Z597" s="1"/>
      <c r="AA597" s="1"/>
      <c r="AB597" s="1"/>
      <c r="AC597" s="1"/>
      <c r="AD597" s="4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</row>
    <row r="598" spans="1:64" ht="15.75" customHeight="1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3"/>
      <c r="X598" s="1"/>
      <c r="Y598" s="1"/>
      <c r="Z598" s="1"/>
      <c r="AA598" s="1"/>
      <c r="AB598" s="1"/>
      <c r="AC598" s="1"/>
      <c r="AD598" s="4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</row>
    <row r="599" spans="1:64" ht="15.75" customHeight="1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3"/>
      <c r="X599" s="1"/>
      <c r="Y599" s="1"/>
      <c r="Z599" s="1"/>
      <c r="AA599" s="1"/>
      <c r="AB599" s="1"/>
      <c r="AC599" s="1"/>
      <c r="AD599" s="4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</row>
    <row r="600" spans="1:64" ht="15.75" customHeight="1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3"/>
      <c r="X600" s="1"/>
      <c r="Y600" s="1"/>
      <c r="Z600" s="1"/>
      <c r="AA600" s="1"/>
      <c r="AB600" s="1"/>
      <c r="AC600" s="1"/>
      <c r="AD600" s="4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</row>
    <row r="601" spans="1:64" ht="15.75" customHeight="1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3"/>
      <c r="X601" s="1"/>
      <c r="Y601" s="1"/>
      <c r="Z601" s="1"/>
      <c r="AA601" s="1"/>
      <c r="AB601" s="1"/>
      <c r="AC601" s="1"/>
      <c r="AD601" s="4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</row>
    <row r="602" spans="1:64" ht="15.75" customHeight="1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3"/>
      <c r="X602" s="1"/>
      <c r="Y602" s="1"/>
      <c r="Z602" s="1"/>
      <c r="AA602" s="1"/>
      <c r="AB602" s="1"/>
      <c r="AC602" s="1"/>
      <c r="AD602" s="4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</row>
    <row r="603" spans="1:64" ht="15.75" customHeight="1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3"/>
      <c r="X603" s="1"/>
      <c r="Y603" s="1"/>
      <c r="Z603" s="1"/>
      <c r="AA603" s="1"/>
      <c r="AB603" s="1"/>
      <c r="AC603" s="1"/>
      <c r="AD603" s="4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</row>
    <row r="604" spans="1:64" ht="15.75" customHeight="1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3"/>
      <c r="X604" s="1"/>
      <c r="Y604" s="1"/>
      <c r="Z604" s="1"/>
      <c r="AA604" s="1"/>
      <c r="AB604" s="1"/>
      <c r="AC604" s="1"/>
      <c r="AD604" s="4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</row>
    <row r="605" spans="1:64" ht="15.75" customHeight="1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3"/>
      <c r="X605" s="1"/>
      <c r="Y605" s="1"/>
      <c r="Z605" s="1"/>
      <c r="AA605" s="1"/>
      <c r="AB605" s="1"/>
      <c r="AC605" s="1"/>
      <c r="AD605" s="4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</row>
    <row r="606" spans="1:64" ht="15.75" customHeight="1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3"/>
      <c r="X606" s="1"/>
      <c r="Y606" s="1"/>
      <c r="Z606" s="1"/>
      <c r="AA606" s="1"/>
      <c r="AB606" s="1"/>
      <c r="AC606" s="1"/>
      <c r="AD606" s="4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</row>
    <row r="607" spans="1:64" ht="15.75" customHeight="1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3"/>
      <c r="X607" s="1"/>
      <c r="Y607" s="1"/>
      <c r="Z607" s="1"/>
      <c r="AA607" s="1"/>
      <c r="AB607" s="1"/>
      <c r="AC607" s="1"/>
      <c r="AD607" s="4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</row>
    <row r="608" spans="1:64" ht="15.75" customHeight="1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3"/>
      <c r="X608" s="1"/>
      <c r="Y608" s="1"/>
      <c r="Z608" s="1"/>
      <c r="AA608" s="1"/>
      <c r="AB608" s="1"/>
      <c r="AC608" s="1"/>
      <c r="AD608" s="4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</row>
    <row r="609" spans="1:64" ht="15.75" customHeight="1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3"/>
      <c r="X609" s="1"/>
      <c r="Y609" s="1"/>
      <c r="Z609" s="1"/>
      <c r="AA609" s="1"/>
      <c r="AB609" s="1"/>
      <c r="AC609" s="1"/>
      <c r="AD609" s="4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</row>
    <row r="610" spans="1:64" ht="15.75" customHeight="1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3"/>
      <c r="X610" s="1"/>
      <c r="Y610" s="1"/>
      <c r="Z610" s="1"/>
      <c r="AA610" s="1"/>
      <c r="AB610" s="1"/>
      <c r="AC610" s="1"/>
      <c r="AD610" s="4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</row>
    <row r="611" spans="1:64" ht="15.75" customHeight="1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3"/>
      <c r="X611" s="1"/>
      <c r="Y611" s="1"/>
      <c r="Z611" s="1"/>
      <c r="AA611" s="1"/>
      <c r="AB611" s="1"/>
      <c r="AC611" s="1"/>
      <c r="AD611" s="4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</row>
    <row r="612" spans="1:64" ht="15.75" customHeight="1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3"/>
      <c r="X612" s="1"/>
      <c r="Y612" s="1"/>
      <c r="Z612" s="1"/>
      <c r="AA612" s="1"/>
      <c r="AB612" s="1"/>
      <c r="AC612" s="1"/>
      <c r="AD612" s="4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</row>
    <row r="613" spans="1:64" ht="15.75" customHeight="1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3"/>
      <c r="X613" s="1"/>
      <c r="Y613" s="1"/>
      <c r="Z613" s="1"/>
      <c r="AA613" s="1"/>
      <c r="AB613" s="1"/>
      <c r="AC613" s="1"/>
      <c r="AD613" s="4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</row>
    <row r="614" spans="1:64" ht="15.75" customHeight="1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3"/>
      <c r="X614" s="1"/>
      <c r="Y614" s="1"/>
      <c r="Z614" s="1"/>
      <c r="AA614" s="1"/>
      <c r="AB614" s="1"/>
      <c r="AC614" s="1"/>
      <c r="AD614" s="4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</row>
    <row r="615" spans="1:64" ht="15.75" customHeight="1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3"/>
      <c r="X615" s="1"/>
      <c r="Y615" s="1"/>
      <c r="Z615" s="1"/>
      <c r="AA615" s="1"/>
      <c r="AB615" s="1"/>
      <c r="AC615" s="1"/>
      <c r="AD615" s="4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</row>
    <row r="616" spans="1:64" ht="15.75" customHeight="1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3"/>
      <c r="X616" s="1"/>
      <c r="Y616" s="1"/>
      <c r="Z616" s="1"/>
      <c r="AA616" s="1"/>
      <c r="AB616" s="1"/>
      <c r="AC616" s="1"/>
      <c r="AD616" s="4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</row>
    <row r="617" spans="1:64" ht="15.75" customHeight="1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3"/>
      <c r="X617" s="1"/>
      <c r="Y617" s="1"/>
      <c r="Z617" s="1"/>
      <c r="AA617" s="1"/>
      <c r="AB617" s="1"/>
      <c r="AC617" s="1"/>
      <c r="AD617" s="4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</row>
    <row r="618" spans="1:64" ht="15.75" customHeight="1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3"/>
      <c r="X618" s="1"/>
      <c r="Y618" s="1"/>
      <c r="Z618" s="1"/>
      <c r="AA618" s="1"/>
      <c r="AB618" s="1"/>
      <c r="AC618" s="1"/>
      <c r="AD618" s="4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</row>
    <row r="619" spans="1:64" ht="15.75" customHeight="1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3"/>
      <c r="X619" s="1"/>
      <c r="Y619" s="1"/>
      <c r="Z619" s="1"/>
      <c r="AA619" s="1"/>
      <c r="AB619" s="1"/>
      <c r="AC619" s="1"/>
      <c r="AD619" s="4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</row>
    <row r="620" spans="1:64" ht="15.75" customHeight="1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3"/>
      <c r="X620" s="1"/>
      <c r="Y620" s="1"/>
      <c r="Z620" s="1"/>
      <c r="AA620" s="1"/>
      <c r="AB620" s="1"/>
      <c r="AC620" s="1"/>
      <c r="AD620" s="4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</row>
    <row r="621" spans="1:64" ht="15.75" customHeight="1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3"/>
      <c r="X621" s="1"/>
      <c r="Y621" s="1"/>
      <c r="Z621" s="1"/>
      <c r="AA621" s="1"/>
      <c r="AB621" s="1"/>
      <c r="AC621" s="1"/>
      <c r="AD621" s="4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</row>
    <row r="622" spans="1:64" ht="15.75" customHeight="1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3"/>
      <c r="X622" s="1"/>
      <c r="Y622" s="1"/>
      <c r="Z622" s="1"/>
      <c r="AA622" s="1"/>
      <c r="AB622" s="1"/>
      <c r="AC622" s="1"/>
      <c r="AD622" s="4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</row>
    <row r="623" spans="1:64" ht="15.75" customHeight="1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3"/>
      <c r="X623" s="1"/>
      <c r="Y623" s="1"/>
      <c r="Z623" s="1"/>
      <c r="AA623" s="1"/>
      <c r="AB623" s="1"/>
      <c r="AC623" s="1"/>
      <c r="AD623" s="4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</row>
    <row r="624" spans="1:64" ht="15.75" customHeight="1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3"/>
      <c r="X624" s="1"/>
      <c r="Y624" s="1"/>
      <c r="Z624" s="1"/>
      <c r="AA624" s="1"/>
      <c r="AB624" s="1"/>
      <c r="AC624" s="1"/>
      <c r="AD624" s="4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</row>
    <row r="625" spans="1:64" ht="15.75" customHeight="1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3"/>
      <c r="X625" s="1"/>
      <c r="Y625" s="1"/>
      <c r="Z625" s="1"/>
      <c r="AA625" s="1"/>
      <c r="AB625" s="1"/>
      <c r="AC625" s="1"/>
      <c r="AD625" s="4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</row>
    <row r="626" spans="1:64" ht="15.75" customHeight="1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3"/>
      <c r="X626" s="1"/>
      <c r="Y626" s="1"/>
      <c r="Z626" s="1"/>
      <c r="AA626" s="1"/>
      <c r="AB626" s="1"/>
      <c r="AC626" s="1"/>
      <c r="AD626" s="4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</row>
    <row r="627" spans="1:64" ht="15.75" customHeight="1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3"/>
      <c r="X627" s="1"/>
      <c r="Y627" s="1"/>
      <c r="Z627" s="1"/>
      <c r="AA627" s="1"/>
      <c r="AB627" s="1"/>
      <c r="AC627" s="1"/>
      <c r="AD627" s="4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</row>
    <row r="628" spans="1:64" ht="15.75" customHeight="1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3"/>
      <c r="X628" s="1"/>
      <c r="Y628" s="1"/>
      <c r="Z628" s="1"/>
      <c r="AA628" s="1"/>
      <c r="AB628" s="1"/>
      <c r="AC628" s="1"/>
      <c r="AD628" s="4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</row>
    <row r="629" spans="1:64" ht="15.75" customHeight="1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3"/>
      <c r="X629" s="1"/>
      <c r="Y629" s="1"/>
      <c r="Z629" s="1"/>
      <c r="AA629" s="1"/>
      <c r="AB629" s="1"/>
      <c r="AC629" s="1"/>
      <c r="AD629" s="4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</row>
    <row r="630" spans="1:64" ht="15.75" customHeight="1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3"/>
      <c r="X630" s="1"/>
      <c r="Y630" s="1"/>
      <c r="Z630" s="1"/>
      <c r="AA630" s="1"/>
      <c r="AB630" s="1"/>
      <c r="AC630" s="1"/>
      <c r="AD630" s="4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</row>
    <row r="631" spans="1:64" ht="15.75" customHeight="1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3"/>
      <c r="X631" s="1"/>
      <c r="Y631" s="1"/>
      <c r="Z631" s="1"/>
      <c r="AA631" s="1"/>
      <c r="AB631" s="1"/>
      <c r="AC631" s="1"/>
      <c r="AD631" s="4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</row>
    <row r="632" spans="1:64" ht="15.75" customHeight="1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3"/>
      <c r="X632" s="1"/>
      <c r="Y632" s="1"/>
      <c r="Z632" s="1"/>
      <c r="AA632" s="1"/>
      <c r="AB632" s="1"/>
      <c r="AC632" s="1"/>
      <c r="AD632" s="4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</row>
    <row r="633" spans="1:64" ht="15.75" customHeight="1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3"/>
      <c r="X633" s="1"/>
      <c r="Y633" s="1"/>
      <c r="Z633" s="1"/>
      <c r="AA633" s="1"/>
      <c r="AB633" s="1"/>
      <c r="AC633" s="1"/>
      <c r="AD633" s="4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</row>
    <row r="634" spans="1:64" ht="15.75" customHeight="1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3"/>
      <c r="X634" s="1"/>
      <c r="Y634" s="1"/>
      <c r="Z634" s="1"/>
      <c r="AA634" s="1"/>
      <c r="AB634" s="1"/>
      <c r="AC634" s="1"/>
      <c r="AD634" s="4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</row>
    <row r="635" spans="1:64" ht="15.75" customHeight="1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3"/>
      <c r="X635" s="1"/>
      <c r="Y635" s="1"/>
      <c r="Z635" s="1"/>
      <c r="AA635" s="1"/>
      <c r="AB635" s="1"/>
      <c r="AC635" s="1"/>
      <c r="AD635" s="4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</row>
    <row r="636" spans="1:64" ht="15.75" customHeight="1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3"/>
      <c r="X636" s="1"/>
      <c r="Y636" s="1"/>
      <c r="Z636" s="1"/>
      <c r="AA636" s="1"/>
      <c r="AB636" s="1"/>
      <c r="AC636" s="1"/>
      <c r="AD636" s="4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</row>
    <row r="637" spans="1:64" ht="15.75" customHeight="1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3"/>
      <c r="X637" s="1"/>
      <c r="Y637" s="1"/>
      <c r="Z637" s="1"/>
      <c r="AA637" s="1"/>
      <c r="AB637" s="1"/>
      <c r="AC637" s="1"/>
      <c r="AD637" s="4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</row>
    <row r="638" spans="1:64" ht="15.75" customHeight="1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3"/>
      <c r="X638" s="1"/>
      <c r="Y638" s="1"/>
      <c r="Z638" s="1"/>
      <c r="AA638" s="1"/>
      <c r="AB638" s="1"/>
      <c r="AC638" s="1"/>
      <c r="AD638" s="4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</row>
    <row r="639" spans="1:64" ht="15.75" customHeight="1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3"/>
      <c r="X639" s="1"/>
      <c r="Y639" s="1"/>
      <c r="Z639" s="1"/>
      <c r="AA639" s="1"/>
      <c r="AB639" s="1"/>
      <c r="AC639" s="1"/>
      <c r="AD639" s="4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</row>
    <row r="640" spans="1:64" ht="15.75" customHeight="1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3"/>
      <c r="X640" s="1"/>
      <c r="Y640" s="1"/>
      <c r="Z640" s="1"/>
      <c r="AA640" s="1"/>
      <c r="AB640" s="1"/>
      <c r="AC640" s="1"/>
      <c r="AD640" s="4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</row>
    <row r="641" spans="1:64" ht="15.75" customHeight="1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3"/>
      <c r="X641" s="1"/>
      <c r="Y641" s="1"/>
      <c r="Z641" s="1"/>
      <c r="AA641" s="1"/>
      <c r="AB641" s="1"/>
      <c r="AC641" s="1"/>
      <c r="AD641" s="4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</row>
    <row r="642" spans="1:64" ht="15.75" customHeight="1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3"/>
      <c r="X642" s="1"/>
      <c r="Y642" s="1"/>
      <c r="Z642" s="1"/>
      <c r="AA642" s="1"/>
      <c r="AB642" s="1"/>
      <c r="AC642" s="1"/>
      <c r="AD642" s="4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</row>
    <row r="643" spans="1:64" ht="15.75" customHeight="1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3"/>
      <c r="X643" s="1"/>
      <c r="Y643" s="1"/>
      <c r="Z643" s="1"/>
      <c r="AA643" s="1"/>
      <c r="AB643" s="1"/>
      <c r="AC643" s="1"/>
      <c r="AD643" s="4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</row>
    <row r="644" spans="1:64" ht="15.75" customHeight="1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3"/>
      <c r="X644" s="1"/>
      <c r="Y644" s="1"/>
      <c r="Z644" s="1"/>
      <c r="AA644" s="1"/>
      <c r="AB644" s="1"/>
      <c r="AC644" s="1"/>
      <c r="AD644" s="4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</row>
    <row r="645" spans="1:64" ht="15.75" customHeight="1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3"/>
      <c r="X645" s="1"/>
      <c r="Y645" s="1"/>
      <c r="Z645" s="1"/>
      <c r="AA645" s="1"/>
      <c r="AB645" s="1"/>
      <c r="AC645" s="1"/>
      <c r="AD645" s="4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</row>
    <row r="646" spans="1:64" ht="15.75" customHeight="1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3"/>
      <c r="X646" s="1"/>
      <c r="Y646" s="1"/>
      <c r="Z646" s="1"/>
      <c r="AA646" s="1"/>
      <c r="AB646" s="1"/>
      <c r="AC646" s="1"/>
      <c r="AD646" s="4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</row>
    <row r="647" spans="1:64" ht="15.75" customHeight="1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3"/>
      <c r="X647" s="1"/>
      <c r="Y647" s="1"/>
      <c r="Z647" s="1"/>
      <c r="AA647" s="1"/>
      <c r="AB647" s="1"/>
      <c r="AC647" s="1"/>
      <c r="AD647" s="4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</row>
    <row r="648" spans="1:64" ht="15.75" customHeight="1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3"/>
      <c r="X648" s="1"/>
      <c r="Y648" s="1"/>
      <c r="Z648" s="1"/>
      <c r="AA648" s="1"/>
      <c r="AB648" s="1"/>
      <c r="AC648" s="1"/>
      <c r="AD648" s="4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</row>
    <row r="649" spans="1:64" ht="15.75" customHeight="1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3"/>
      <c r="X649" s="1"/>
      <c r="Y649" s="1"/>
      <c r="Z649" s="1"/>
      <c r="AA649" s="1"/>
      <c r="AB649" s="1"/>
      <c r="AC649" s="1"/>
      <c r="AD649" s="4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</row>
    <row r="650" spans="1:64" ht="15.75" customHeight="1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3"/>
      <c r="X650" s="1"/>
      <c r="Y650" s="1"/>
      <c r="Z650" s="1"/>
      <c r="AA650" s="1"/>
      <c r="AB650" s="1"/>
      <c r="AC650" s="1"/>
      <c r="AD650" s="4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</row>
    <row r="651" spans="1:64" ht="15.75" customHeight="1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3"/>
      <c r="X651" s="1"/>
      <c r="Y651" s="1"/>
      <c r="Z651" s="1"/>
      <c r="AA651" s="1"/>
      <c r="AB651" s="1"/>
      <c r="AC651" s="1"/>
      <c r="AD651" s="4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</row>
    <row r="652" spans="1:64" ht="15.75" customHeight="1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3"/>
      <c r="X652" s="1"/>
      <c r="Y652" s="1"/>
      <c r="Z652" s="1"/>
      <c r="AA652" s="1"/>
      <c r="AB652" s="1"/>
      <c r="AC652" s="1"/>
      <c r="AD652" s="4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</row>
    <row r="653" spans="1:64" ht="15.75" customHeight="1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3"/>
      <c r="X653" s="1"/>
      <c r="Y653" s="1"/>
      <c r="Z653" s="1"/>
      <c r="AA653" s="1"/>
      <c r="AB653" s="1"/>
      <c r="AC653" s="1"/>
      <c r="AD653" s="4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</row>
    <row r="654" spans="1:64" ht="15.75" customHeight="1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3"/>
      <c r="X654" s="1"/>
      <c r="Y654" s="1"/>
      <c r="Z654" s="1"/>
      <c r="AA654" s="1"/>
      <c r="AB654" s="1"/>
      <c r="AC654" s="1"/>
      <c r="AD654" s="4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</row>
    <row r="655" spans="1:64" ht="15.75" customHeight="1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3"/>
      <c r="X655" s="1"/>
      <c r="Y655" s="1"/>
      <c r="Z655" s="1"/>
      <c r="AA655" s="1"/>
      <c r="AB655" s="1"/>
      <c r="AC655" s="1"/>
      <c r="AD655" s="4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</row>
    <row r="656" spans="1:64" ht="15.75" customHeight="1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3"/>
      <c r="X656" s="1"/>
      <c r="Y656" s="1"/>
      <c r="Z656" s="1"/>
      <c r="AA656" s="1"/>
      <c r="AB656" s="1"/>
      <c r="AC656" s="1"/>
      <c r="AD656" s="4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</row>
    <row r="657" spans="1:64" ht="15.75" customHeight="1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3"/>
      <c r="X657" s="1"/>
      <c r="Y657" s="1"/>
      <c r="Z657" s="1"/>
      <c r="AA657" s="1"/>
      <c r="AB657" s="1"/>
      <c r="AC657" s="1"/>
      <c r="AD657" s="4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</row>
    <row r="658" spans="1:64" ht="15.75" customHeight="1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3"/>
      <c r="X658" s="1"/>
      <c r="Y658" s="1"/>
      <c r="Z658" s="1"/>
      <c r="AA658" s="1"/>
      <c r="AB658" s="1"/>
      <c r="AC658" s="1"/>
      <c r="AD658" s="4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</row>
    <row r="659" spans="1:64" ht="15.75" customHeight="1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3"/>
      <c r="X659" s="1"/>
      <c r="Y659" s="1"/>
      <c r="Z659" s="1"/>
      <c r="AA659" s="1"/>
      <c r="AB659" s="1"/>
      <c r="AC659" s="1"/>
      <c r="AD659" s="4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</row>
    <row r="660" spans="1:64" ht="15.75" customHeight="1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3"/>
      <c r="X660" s="1"/>
      <c r="Y660" s="1"/>
      <c r="Z660" s="1"/>
      <c r="AA660" s="1"/>
      <c r="AB660" s="1"/>
      <c r="AC660" s="1"/>
      <c r="AD660" s="4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</row>
    <row r="661" spans="1:64" ht="15.75" customHeight="1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3"/>
      <c r="X661" s="1"/>
      <c r="Y661" s="1"/>
      <c r="Z661" s="1"/>
      <c r="AA661" s="1"/>
      <c r="AB661" s="1"/>
      <c r="AC661" s="1"/>
      <c r="AD661" s="4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</row>
    <row r="662" spans="1:64" ht="15.75" customHeight="1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3"/>
      <c r="X662" s="1"/>
      <c r="Y662" s="1"/>
      <c r="Z662" s="1"/>
      <c r="AA662" s="1"/>
      <c r="AB662" s="1"/>
      <c r="AC662" s="1"/>
      <c r="AD662" s="4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</row>
    <row r="663" spans="1:64" ht="15.75" customHeight="1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3"/>
      <c r="X663" s="1"/>
      <c r="Y663" s="1"/>
      <c r="Z663" s="1"/>
      <c r="AA663" s="1"/>
      <c r="AB663" s="1"/>
      <c r="AC663" s="1"/>
      <c r="AD663" s="4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</row>
    <row r="664" spans="1:64" ht="15.75" customHeight="1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3"/>
      <c r="X664" s="1"/>
      <c r="Y664" s="1"/>
      <c r="Z664" s="1"/>
      <c r="AA664" s="1"/>
      <c r="AB664" s="1"/>
      <c r="AC664" s="1"/>
      <c r="AD664" s="4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</row>
    <row r="665" spans="1:64" ht="15.75" customHeight="1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3"/>
      <c r="X665" s="1"/>
      <c r="Y665" s="1"/>
      <c r="Z665" s="1"/>
      <c r="AA665" s="1"/>
      <c r="AB665" s="1"/>
      <c r="AC665" s="1"/>
      <c r="AD665" s="4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</row>
    <row r="666" spans="1:64" ht="15.75" customHeight="1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3"/>
      <c r="X666" s="1"/>
      <c r="Y666" s="1"/>
      <c r="Z666" s="1"/>
      <c r="AA666" s="1"/>
      <c r="AB666" s="1"/>
      <c r="AC666" s="1"/>
      <c r="AD666" s="4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</row>
    <row r="667" spans="1:64" ht="15.75" customHeight="1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3"/>
      <c r="X667" s="1"/>
      <c r="Y667" s="1"/>
      <c r="Z667" s="1"/>
      <c r="AA667" s="1"/>
      <c r="AB667" s="1"/>
      <c r="AC667" s="1"/>
      <c r="AD667" s="4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</row>
    <row r="668" spans="1:64" ht="15.75" customHeight="1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3"/>
      <c r="X668" s="1"/>
      <c r="Y668" s="1"/>
      <c r="Z668" s="1"/>
      <c r="AA668" s="1"/>
      <c r="AB668" s="1"/>
      <c r="AC668" s="1"/>
      <c r="AD668" s="4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</row>
    <row r="669" spans="1:64" ht="15.75" customHeight="1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3"/>
      <c r="X669" s="1"/>
      <c r="Y669" s="1"/>
      <c r="Z669" s="1"/>
      <c r="AA669" s="1"/>
      <c r="AB669" s="1"/>
      <c r="AC669" s="1"/>
      <c r="AD669" s="4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</row>
    <row r="670" spans="1:64" ht="15.75" customHeight="1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3"/>
      <c r="X670" s="1"/>
      <c r="Y670" s="1"/>
      <c r="Z670" s="1"/>
      <c r="AA670" s="1"/>
      <c r="AB670" s="1"/>
      <c r="AC670" s="1"/>
      <c r="AD670" s="4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</row>
    <row r="671" spans="1:64" ht="15.75" customHeight="1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3"/>
      <c r="X671" s="1"/>
      <c r="Y671" s="1"/>
      <c r="Z671" s="1"/>
      <c r="AA671" s="1"/>
      <c r="AB671" s="1"/>
      <c r="AC671" s="1"/>
      <c r="AD671" s="4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</row>
    <row r="672" spans="1:64" ht="15.75" customHeight="1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3"/>
      <c r="X672" s="1"/>
      <c r="Y672" s="1"/>
      <c r="Z672" s="1"/>
      <c r="AA672" s="1"/>
      <c r="AB672" s="1"/>
      <c r="AC672" s="1"/>
      <c r="AD672" s="4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</row>
    <row r="673" spans="1:64" ht="15.75" customHeight="1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3"/>
      <c r="X673" s="1"/>
      <c r="Y673" s="1"/>
      <c r="Z673" s="1"/>
      <c r="AA673" s="1"/>
      <c r="AB673" s="1"/>
      <c r="AC673" s="1"/>
      <c r="AD673" s="4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</row>
    <row r="674" spans="1:64" ht="15.75" customHeight="1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3"/>
      <c r="X674" s="1"/>
      <c r="Y674" s="1"/>
      <c r="Z674" s="1"/>
      <c r="AA674" s="1"/>
      <c r="AB674" s="1"/>
      <c r="AC674" s="1"/>
      <c r="AD674" s="4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</row>
    <row r="675" spans="1:64" ht="15.75" customHeight="1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3"/>
      <c r="X675" s="1"/>
      <c r="Y675" s="1"/>
      <c r="Z675" s="1"/>
      <c r="AA675" s="1"/>
      <c r="AB675" s="1"/>
      <c r="AC675" s="1"/>
      <c r="AD675" s="4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</row>
    <row r="676" spans="1:64" ht="15.75" customHeight="1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3"/>
      <c r="X676" s="1"/>
      <c r="Y676" s="1"/>
      <c r="Z676" s="1"/>
      <c r="AA676" s="1"/>
      <c r="AB676" s="1"/>
      <c r="AC676" s="1"/>
      <c r="AD676" s="4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</row>
    <row r="677" spans="1:64" ht="15.75" customHeight="1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3"/>
      <c r="X677" s="1"/>
      <c r="Y677" s="1"/>
      <c r="Z677" s="1"/>
      <c r="AA677" s="1"/>
      <c r="AB677" s="1"/>
      <c r="AC677" s="1"/>
      <c r="AD677" s="4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</row>
    <row r="678" spans="1:64" ht="15.75" customHeight="1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3"/>
      <c r="X678" s="1"/>
      <c r="Y678" s="1"/>
      <c r="Z678" s="1"/>
      <c r="AA678" s="1"/>
      <c r="AB678" s="1"/>
      <c r="AC678" s="1"/>
      <c r="AD678" s="4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</row>
    <row r="679" spans="1:64" ht="15.75" customHeight="1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3"/>
      <c r="X679" s="1"/>
      <c r="Y679" s="1"/>
      <c r="Z679" s="1"/>
      <c r="AA679" s="1"/>
      <c r="AB679" s="1"/>
      <c r="AC679" s="1"/>
      <c r="AD679" s="4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</row>
    <row r="680" spans="1:64" ht="15.75" customHeight="1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3"/>
      <c r="X680" s="1"/>
      <c r="Y680" s="1"/>
      <c r="Z680" s="1"/>
      <c r="AA680" s="1"/>
      <c r="AB680" s="1"/>
      <c r="AC680" s="1"/>
      <c r="AD680" s="4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</row>
    <row r="681" spans="1:64" ht="15.75" customHeight="1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3"/>
      <c r="X681" s="1"/>
      <c r="Y681" s="1"/>
      <c r="Z681" s="1"/>
      <c r="AA681" s="1"/>
      <c r="AB681" s="1"/>
      <c r="AC681" s="1"/>
      <c r="AD681" s="4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</row>
    <row r="682" spans="1:64" ht="15.75" customHeight="1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3"/>
      <c r="X682" s="1"/>
      <c r="Y682" s="1"/>
      <c r="Z682" s="1"/>
      <c r="AA682" s="1"/>
      <c r="AB682" s="1"/>
      <c r="AC682" s="1"/>
      <c r="AD682" s="4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</row>
    <row r="683" spans="1:64" ht="15.75" customHeight="1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3"/>
      <c r="X683" s="1"/>
      <c r="Y683" s="1"/>
      <c r="Z683" s="1"/>
      <c r="AA683" s="1"/>
      <c r="AB683" s="1"/>
      <c r="AC683" s="1"/>
      <c r="AD683" s="4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</row>
    <row r="684" spans="1:64" ht="15.75" customHeight="1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3"/>
      <c r="X684" s="1"/>
      <c r="Y684" s="1"/>
      <c r="Z684" s="1"/>
      <c r="AA684" s="1"/>
      <c r="AB684" s="1"/>
      <c r="AC684" s="1"/>
      <c r="AD684" s="4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</row>
    <row r="685" spans="1:64" ht="15.75" customHeight="1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3"/>
      <c r="X685" s="1"/>
      <c r="Y685" s="1"/>
      <c r="Z685" s="1"/>
      <c r="AA685" s="1"/>
      <c r="AB685" s="1"/>
      <c r="AC685" s="1"/>
      <c r="AD685" s="4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</row>
    <row r="686" spans="1:64" ht="15.75" customHeight="1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3"/>
      <c r="X686" s="1"/>
      <c r="Y686" s="1"/>
      <c r="Z686" s="1"/>
      <c r="AA686" s="1"/>
      <c r="AB686" s="1"/>
      <c r="AC686" s="1"/>
      <c r="AD686" s="4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</row>
    <row r="687" spans="1:64" ht="15.75" customHeight="1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3"/>
      <c r="X687" s="1"/>
      <c r="Y687" s="1"/>
      <c r="Z687" s="1"/>
      <c r="AA687" s="1"/>
      <c r="AB687" s="1"/>
      <c r="AC687" s="1"/>
      <c r="AD687" s="4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</row>
    <row r="688" spans="1:64" ht="15.75" customHeight="1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3"/>
      <c r="X688" s="1"/>
      <c r="Y688" s="1"/>
      <c r="Z688" s="1"/>
      <c r="AA688" s="1"/>
      <c r="AB688" s="1"/>
      <c r="AC688" s="1"/>
      <c r="AD688" s="4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</row>
    <row r="689" spans="1:64" ht="15.75" customHeight="1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3"/>
      <c r="X689" s="1"/>
      <c r="Y689" s="1"/>
      <c r="Z689" s="1"/>
      <c r="AA689" s="1"/>
      <c r="AB689" s="1"/>
      <c r="AC689" s="1"/>
      <c r="AD689" s="4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</row>
    <row r="690" spans="1:64" ht="15.75" customHeight="1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3"/>
      <c r="X690" s="1"/>
      <c r="Y690" s="1"/>
      <c r="Z690" s="1"/>
      <c r="AA690" s="1"/>
      <c r="AB690" s="1"/>
      <c r="AC690" s="1"/>
      <c r="AD690" s="4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</row>
    <row r="691" spans="1:64" ht="15.75" customHeight="1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3"/>
      <c r="X691" s="1"/>
      <c r="Y691" s="1"/>
      <c r="Z691" s="1"/>
      <c r="AA691" s="1"/>
      <c r="AB691" s="1"/>
      <c r="AC691" s="1"/>
      <c r="AD691" s="4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</row>
    <row r="692" spans="1:64" ht="15.75" customHeight="1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3"/>
      <c r="X692" s="1"/>
      <c r="Y692" s="1"/>
      <c r="Z692" s="1"/>
      <c r="AA692" s="1"/>
      <c r="AB692" s="1"/>
      <c r="AC692" s="1"/>
      <c r="AD692" s="4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</row>
    <row r="693" spans="1:64" ht="15.75" customHeight="1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3"/>
      <c r="X693" s="1"/>
      <c r="Y693" s="1"/>
      <c r="Z693" s="1"/>
      <c r="AA693" s="1"/>
      <c r="AB693" s="1"/>
      <c r="AC693" s="1"/>
      <c r="AD693" s="4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</row>
    <row r="694" spans="1:64" ht="15.75" customHeight="1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3"/>
      <c r="X694" s="1"/>
      <c r="Y694" s="1"/>
      <c r="Z694" s="1"/>
      <c r="AA694" s="1"/>
      <c r="AB694" s="1"/>
      <c r="AC694" s="1"/>
      <c r="AD694" s="4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</row>
    <row r="695" spans="1:64" ht="15.75" customHeight="1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3"/>
      <c r="X695" s="1"/>
      <c r="Y695" s="1"/>
      <c r="Z695" s="1"/>
      <c r="AA695" s="1"/>
      <c r="AB695" s="1"/>
      <c r="AC695" s="1"/>
      <c r="AD695" s="4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</row>
    <row r="696" spans="1:64" ht="15.75" customHeight="1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3"/>
      <c r="X696" s="1"/>
      <c r="Y696" s="1"/>
      <c r="Z696" s="1"/>
      <c r="AA696" s="1"/>
      <c r="AB696" s="1"/>
      <c r="AC696" s="1"/>
      <c r="AD696" s="4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</row>
    <row r="697" spans="1:64" ht="15.75" customHeight="1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3"/>
      <c r="X697" s="1"/>
      <c r="Y697" s="1"/>
      <c r="Z697" s="1"/>
      <c r="AA697" s="1"/>
      <c r="AB697" s="1"/>
      <c r="AC697" s="1"/>
      <c r="AD697" s="4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</row>
    <row r="698" spans="1:64" ht="15.75" customHeight="1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3"/>
      <c r="X698" s="1"/>
      <c r="Y698" s="1"/>
      <c r="Z698" s="1"/>
      <c r="AA698" s="1"/>
      <c r="AB698" s="1"/>
      <c r="AC698" s="1"/>
      <c r="AD698" s="4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</row>
    <row r="699" spans="1:64" ht="15.75" customHeight="1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3"/>
      <c r="X699" s="1"/>
      <c r="Y699" s="1"/>
      <c r="Z699" s="1"/>
      <c r="AA699" s="1"/>
      <c r="AB699" s="1"/>
      <c r="AC699" s="1"/>
      <c r="AD699" s="4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</row>
    <row r="700" spans="1:64" ht="15.75" customHeight="1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3"/>
      <c r="X700" s="1"/>
      <c r="Y700" s="1"/>
      <c r="Z700" s="1"/>
      <c r="AA700" s="1"/>
      <c r="AB700" s="1"/>
      <c r="AC700" s="1"/>
      <c r="AD700" s="4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</row>
    <row r="701" spans="1:64" ht="15.75" customHeight="1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3"/>
      <c r="X701" s="1"/>
      <c r="Y701" s="1"/>
      <c r="Z701" s="1"/>
      <c r="AA701" s="1"/>
      <c r="AB701" s="1"/>
      <c r="AC701" s="1"/>
      <c r="AD701" s="4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</row>
    <row r="702" spans="1:64" ht="15.75" customHeight="1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3"/>
      <c r="X702" s="1"/>
      <c r="Y702" s="1"/>
      <c r="Z702" s="1"/>
      <c r="AA702" s="1"/>
      <c r="AB702" s="1"/>
      <c r="AC702" s="1"/>
      <c r="AD702" s="4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</row>
    <row r="703" spans="1:64" ht="15.75" customHeight="1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3"/>
      <c r="X703" s="1"/>
      <c r="Y703" s="1"/>
      <c r="Z703" s="1"/>
      <c r="AA703" s="1"/>
      <c r="AB703" s="1"/>
      <c r="AC703" s="1"/>
      <c r="AD703" s="4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</row>
    <row r="704" spans="1:64" ht="15.75" customHeight="1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3"/>
      <c r="X704" s="1"/>
      <c r="Y704" s="1"/>
      <c r="Z704" s="1"/>
      <c r="AA704" s="1"/>
      <c r="AB704" s="1"/>
      <c r="AC704" s="1"/>
      <c r="AD704" s="4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</row>
    <row r="705" spans="1:64" ht="15.75" customHeight="1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3"/>
      <c r="X705" s="1"/>
      <c r="Y705" s="1"/>
      <c r="Z705" s="1"/>
      <c r="AA705" s="1"/>
      <c r="AB705" s="1"/>
      <c r="AC705" s="1"/>
      <c r="AD705" s="4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</row>
    <row r="706" spans="1:64" ht="15.75" customHeight="1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3"/>
      <c r="X706" s="1"/>
      <c r="Y706" s="1"/>
      <c r="Z706" s="1"/>
      <c r="AA706" s="1"/>
      <c r="AB706" s="1"/>
      <c r="AC706" s="1"/>
      <c r="AD706" s="4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</row>
    <row r="707" spans="1:64" ht="15.75" customHeight="1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3"/>
      <c r="X707" s="1"/>
      <c r="Y707" s="1"/>
      <c r="Z707" s="1"/>
      <c r="AA707" s="1"/>
      <c r="AB707" s="1"/>
      <c r="AC707" s="1"/>
      <c r="AD707" s="4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</row>
    <row r="708" spans="1:64" ht="15.75" customHeight="1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3"/>
      <c r="X708" s="1"/>
      <c r="Y708" s="1"/>
      <c r="Z708" s="1"/>
      <c r="AA708" s="1"/>
      <c r="AB708" s="1"/>
      <c r="AC708" s="1"/>
      <c r="AD708" s="4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</row>
    <row r="709" spans="1:64" ht="15.75" customHeight="1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3"/>
      <c r="X709" s="1"/>
      <c r="Y709" s="1"/>
      <c r="Z709" s="1"/>
      <c r="AA709" s="1"/>
      <c r="AB709" s="1"/>
      <c r="AC709" s="1"/>
      <c r="AD709" s="4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</row>
    <row r="710" spans="1:64" ht="15.75" customHeight="1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3"/>
      <c r="X710" s="1"/>
      <c r="Y710" s="1"/>
      <c r="Z710" s="1"/>
      <c r="AA710" s="1"/>
      <c r="AB710" s="1"/>
      <c r="AC710" s="1"/>
      <c r="AD710" s="4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</row>
    <row r="711" spans="1:64" ht="15.75" customHeight="1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3"/>
      <c r="X711" s="1"/>
      <c r="Y711" s="1"/>
      <c r="Z711" s="1"/>
      <c r="AA711" s="1"/>
      <c r="AB711" s="1"/>
      <c r="AC711" s="1"/>
      <c r="AD711" s="4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</row>
    <row r="712" spans="1:64" ht="15.75" customHeight="1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3"/>
      <c r="X712" s="1"/>
      <c r="Y712" s="1"/>
      <c r="Z712" s="1"/>
      <c r="AA712" s="1"/>
      <c r="AB712" s="1"/>
      <c r="AC712" s="1"/>
      <c r="AD712" s="4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</row>
    <row r="713" spans="1:64" ht="15.75" customHeight="1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3"/>
      <c r="X713" s="1"/>
      <c r="Y713" s="1"/>
      <c r="Z713" s="1"/>
      <c r="AA713" s="1"/>
      <c r="AB713" s="1"/>
      <c r="AC713" s="1"/>
      <c r="AD713" s="4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</row>
    <row r="714" spans="1:64" ht="15.75" customHeight="1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3"/>
      <c r="X714" s="1"/>
      <c r="Y714" s="1"/>
      <c r="Z714" s="1"/>
      <c r="AA714" s="1"/>
      <c r="AB714" s="1"/>
      <c r="AC714" s="1"/>
      <c r="AD714" s="4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</row>
    <row r="715" spans="1:64" ht="15.75" customHeight="1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3"/>
      <c r="X715" s="1"/>
      <c r="Y715" s="1"/>
      <c r="Z715" s="1"/>
      <c r="AA715" s="1"/>
      <c r="AB715" s="1"/>
      <c r="AC715" s="1"/>
      <c r="AD715" s="4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</row>
    <row r="716" spans="1:64" ht="15.75" customHeight="1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3"/>
      <c r="X716" s="1"/>
      <c r="Y716" s="1"/>
      <c r="Z716" s="1"/>
      <c r="AA716" s="1"/>
      <c r="AB716" s="1"/>
      <c r="AC716" s="1"/>
      <c r="AD716" s="4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</row>
    <row r="717" spans="1:64" ht="15.75" customHeight="1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3"/>
      <c r="X717" s="1"/>
      <c r="Y717" s="1"/>
      <c r="Z717" s="1"/>
      <c r="AA717" s="1"/>
      <c r="AB717" s="1"/>
      <c r="AC717" s="1"/>
      <c r="AD717" s="4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</row>
    <row r="718" spans="1:64" ht="15.75" customHeight="1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3"/>
      <c r="X718" s="1"/>
      <c r="Y718" s="1"/>
      <c r="Z718" s="1"/>
      <c r="AA718" s="1"/>
      <c r="AB718" s="1"/>
      <c r="AC718" s="1"/>
      <c r="AD718" s="4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</row>
    <row r="719" spans="1:64" ht="15.75" customHeight="1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3"/>
      <c r="X719" s="1"/>
      <c r="Y719" s="1"/>
      <c r="Z719" s="1"/>
      <c r="AA719" s="1"/>
      <c r="AB719" s="1"/>
      <c r="AC719" s="1"/>
      <c r="AD719" s="4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</row>
    <row r="720" spans="1:64" ht="15.75" customHeight="1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3"/>
      <c r="X720" s="1"/>
      <c r="Y720" s="1"/>
      <c r="Z720" s="1"/>
      <c r="AA720" s="1"/>
      <c r="AB720" s="1"/>
      <c r="AC720" s="1"/>
      <c r="AD720" s="4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</row>
    <row r="721" spans="1:64" ht="15.75" customHeight="1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3"/>
      <c r="X721" s="1"/>
      <c r="Y721" s="1"/>
      <c r="Z721" s="1"/>
      <c r="AA721" s="1"/>
      <c r="AB721" s="1"/>
      <c r="AC721" s="1"/>
      <c r="AD721" s="4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</row>
    <row r="722" spans="1:64" ht="15.75" customHeight="1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3"/>
      <c r="X722" s="1"/>
      <c r="Y722" s="1"/>
      <c r="Z722" s="1"/>
      <c r="AA722" s="1"/>
      <c r="AB722" s="1"/>
      <c r="AC722" s="1"/>
      <c r="AD722" s="4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</row>
    <row r="723" spans="1:64" ht="15.75" customHeight="1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3"/>
      <c r="X723" s="1"/>
      <c r="Y723" s="1"/>
      <c r="Z723" s="1"/>
      <c r="AA723" s="1"/>
      <c r="AB723" s="1"/>
      <c r="AC723" s="1"/>
      <c r="AD723" s="4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</row>
    <row r="724" spans="1:64" ht="15.75" customHeight="1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3"/>
      <c r="X724" s="1"/>
      <c r="Y724" s="1"/>
      <c r="Z724" s="1"/>
      <c r="AA724" s="1"/>
      <c r="AB724" s="1"/>
      <c r="AC724" s="1"/>
      <c r="AD724" s="4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</row>
    <row r="725" spans="1:64" ht="15.75" customHeight="1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3"/>
      <c r="X725" s="1"/>
      <c r="Y725" s="1"/>
      <c r="Z725" s="1"/>
      <c r="AA725" s="1"/>
      <c r="AB725" s="1"/>
      <c r="AC725" s="1"/>
      <c r="AD725" s="4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</row>
    <row r="726" spans="1:64" ht="15.75" customHeight="1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3"/>
      <c r="X726" s="1"/>
      <c r="Y726" s="1"/>
      <c r="Z726" s="1"/>
      <c r="AA726" s="1"/>
      <c r="AB726" s="1"/>
      <c r="AC726" s="1"/>
      <c r="AD726" s="4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</row>
    <row r="727" spans="1:64" ht="15.75" customHeight="1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3"/>
      <c r="X727" s="1"/>
      <c r="Y727" s="1"/>
      <c r="Z727" s="1"/>
      <c r="AA727" s="1"/>
      <c r="AB727" s="1"/>
      <c r="AC727" s="1"/>
      <c r="AD727" s="4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</row>
    <row r="728" spans="1:64" ht="15.75" customHeight="1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3"/>
      <c r="X728" s="1"/>
      <c r="Y728" s="1"/>
      <c r="Z728" s="1"/>
      <c r="AA728" s="1"/>
      <c r="AB728" s="1"/>
      <c r="AC728" s="1"/>
      <c r="AD728" s="4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</row>
    <row r="729" spans="1:64" ht="15.75" customHeight="1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3"/>
      <c r="X729" s="1"/>
      <c r="Y729" s="1"/>
      <c r="Z729" s="1"/>
      <c r="AA729" s="1"/>
      <c r="AB729" s="1"/>
      <c r="AC729" s="1"/>
      <c r="AD729" s="4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</row>
    <row r="730" spans="1:64" ht="15.75" customHeight="1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3"/>
      <c r="X730" s="1"/>
      <c r="Y730" s="1"/>
      <c r="Z730" s="1"/>
      <c r="AA730" s="1"/>
      <c r="AB730" s="1"/>
      <c r="AC730" s="1"/>
      <c r="AD730" s="4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</row>
    <row r="731" spans="1:64" ht="15.75" customHeight="1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3"/>
      <c r="X731" s="1"/>
      <c r="Y731" s="1"/>
      <c r="Z731" s="1"/>
      <c r="AA731" s="1"/>
      <c r="AB731" s="1"/>
      <c r="AC731" s="1"/>
      <c r="AD731" s="4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</row>
    <row r="732" spans="1:64" ht="15.75" customHeight="1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3"/>
      <c r="X732" s="1"/>
      <c r="Y732" s="1"/>
      <c r="Z732" s="1"/>
      <c r="AA732" s="1"/>
      <c r="AB732" s="1"/>
      <c r="AC732" s="1"/>
      <c r="AD732" s="4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</row>
    <row r="733" spans="1:64" ht="15.75" customHeight="1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3"/>
      <c r="X733" s="1"/>
      <c r="Y733" s="1"/>
      <c r="Z733" s="1"/>
      <c r="AA733" s="1"/>
      <c r="AB733" s="1"/>
      <c r="AC733" s="1"/>
      <c r="AD733" s="4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</row>
    <row r="734" spans="1:64" ht="15.75" customHeight="1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3"/>
      <c r="X734" s="1"/>
      <c r="Y734" s="1"/>
      <c r="Z734" s="1"/>
      <c r="AA734" s="1"/>
      <c r="AB734" s="1"/>
      <c r="AC734" s="1"/>
      <c r="AD734" s="4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</row>
    <row r="735" spans="1:64" ht="15.75" customHeight="1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3"/>
      <c r="X735" s="1"/>
      <c r="Y735" s="1"/>
      <c r="Z735" s="1"/>
      <c r="AA735" s="1"/>
      <c r="AB735" s="1"/>
      <c r="AC735" s="1"/>
      <c r="AD735" s="4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</row>
    <row r="736" spans="1:64" ht="15.75" customHeight="1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3"/>
      <c r="X736" s="1"/>
      <c r="Y736" s="1"/>
      <c r="Z736" s="1"/>
      <c r="AA736" s="1"/>
      <c r="AB736" s="1"/>
      <c r="AC736" s="1"/>
      <c r="AD736" s="4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</row>
    <row r="737" spans="1:64" ht="15.75" customHeight="1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3"/>
      <c r="X737" s="1"/>
      <c r="Y737" s="1"/>
      <c r="Z737" s="1"/>
      <c r="AA737" s="1"/>
      <c r="AB737" s="1"/>
      <c r="AC737" s="1"/>
      <c r="AD737" s="4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</row>
    <row r="738" spans="1:64" ht="15.75" customHeight="1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3"/>
      <c r="X738" s="1"/>
      <c r="Y738" s="1"/>
      <c r="Z738" s="1"/>
      <c r="AA738" s="1"/>
      <c r="AB738" s="1"/>
      <c r="AC738" s="1"/>
      <c r="AD738" s="4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</row>
    <row r="739" spans="1:64" ht="15.75" customHeight="1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3"/>
      <c r="X739" s="1"/>
      <c r="Y739" s="1"/>
      <c r="Z739" s="1"/>
      <c r="AA739" s="1"/>
      <c r="AB739" s="1"/>
      <c r="AC739" s="1"/>
      <c r="AD739" s="4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</row>
    <row r="740" spans="1:64" ht="15.75" customHeight="1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3"/>
      <c r="X740" s="1"/>
      <c r="Y740" s="1"/>
      <c r="Z740" s="1"/>
      <c r="AA740" s="1"/>
      <c r="AB740" s="1"/>
      <c r="AC740" s="1"/>
      <c r="AD740" s="4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</row>
    <row r="741" spans="1:64" ht="15.75" customHeight="1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3"/>
      <c r="X741" s="1"/>
      <c r="Y741" s="1"/>
      <c r="Z741" s="1"/>
      <c r="AA741" s="1"/>
      <c r="AB741" s="1"/>
      <c r="AC741" s="1"/>
      <c r="AD741" s="4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</row>
    <row r="742" spans="1:64" ht="15.75" customHeight="1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3"/>
      <c r="X742" s="1"/>
      <c r="Y742" s="1"/>
      <c r="Z742" s="1"/>
      <c r="AA742" s="1"/>
      <c r="AB742" s="1"/>
      <c r="AC742" s="1"/>
      <c r="AD742" s="4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</row>
    <row r="743" spans="1:64" ht="15.75" customHeight="1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3"/>
      <c r="X743" s="1"/>
      <c r="Y743" s="1"/>
      <c r="Z743" s="1"/>
      <c r="AA743" s="1"/>
      <c r="AB743" s="1"/>
      <c r="AC743" s="1"/>
      <c r="AD743" s="4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</row>
    <row r="744" spans="1:64" ht="15.75" customHeight="1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3"/>
      <c r="X744" s="1"/>
      <c r="Y744" s="1"/>
      <c r="Z744" s="1"/>
      <c r="AA744" s="1"/>
      <c r="AB744" s="1"/>
      <c r="AC744" s="1"/>
      <c r="AD744" s="4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</row>
    <row r="745" spans="1:64" ht="15.75" customHeight="1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3"/>
      <c r="X745" s="1"/>
      <c r="Y745" s="1"/>
      <c r="Z745" s="1"/>
      <c r="AA745" s="1"/>
      <c r="AB745" s="1"/>
      <c r="AC745" s="1"/>
      <c r="AD745" s="4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</row>
    <row r="746" spans="1:64" ht="15.75" customHeight="1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3"/>
      <c r="X746" s="1"/>
      <c r="Y746" s="1"/>
      <c r="Z746" s="1"/>
      <c r="AA746" s="1"/>
      <c r="AB746" s="1"/>
      <c r="AC746" s="1"/>
      <c r="AD746" s="4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</row>
    <row r="747" spans="1:64" ht="15.75" customHeight="1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3"/>
      <c r="X747" s="1"/>
      <c r="Y747" s="1"/>
      <c r="Z747" s="1"/>
      <c r="AA747" s="1"/>
      <c r="AB747" s="1"/>
      <c r="AC747" s="1"/>
      <c r="AD747" s="4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</row>
    <row r="748" spans="1:64" ht="15.75" customHeight="1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3"/>
      <c r="X748" s="1"/>
      <c r="Y748" s="1"/>
      <c r="Z748" s="1"/>
      <c r="AA748" s="1"/>
      <c r="AB748" s="1"/>
      <c r="AC748" s="1"/>
      <c r="AD748" s="4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</row>
    <row r="749" spans="1:64" ht="15.75" customHeight="1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3"/>
      <c r="X749" s="1"/>
      <c r="Y749" s="1"/>
      <c r="Z749" s="1"/>
      <c r="AA749" s="1"/>
      <c r="AB749" s="1"/>
      <c r="AC749" s="1"/>
      <c r="AD749" s="4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</row>
    <row r="750" spans="1:64" ht="15.75" customHeight="1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3"/>
      <c r="X750" s="1"/>
      <c r="Y750" s="1"/>
      <c r="Z750" s="1"/>
      <c r="AA750" s="1"/>
      <c r="AB750" s="1"/>
      <c r="AC750" s="1"/>
      <c r="AD750" s="4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</row>
    <row r="751" spans="1:64" ht="15.75" customHeight="1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3"/>
      <c r="X751" s="1"/>
      <c r="Y751" s="1"/>
      <c r="Z751" s="1"/>
      <c r="AA751" s="1"/>
      <c r="AB751" s="1"/>
      <c r="AC751" s="1"/>
      <c r="AD751" s="4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</row>
    <row r="752" spans="1:64" ht="15.75" customHeight="1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3"/>
      <c r="X752" s="1"/>
      <c r="Y752" s="1"/>
      <c r="Z752" s="1"/>
      <c r="AA752" s="1"/>
      <c r="AB752" s="1"/>
      <c r="AC752" s="1"/>
      <c r="AD752" s="4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</row>
    <row r="753" spans="1:64" ht="15.75" customHeight="1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3"/>
      <c r="X753" s="1"/>
      <c r="Y753" s="1"/>
      <c r="Z753" s="1"/>
      <c r="AA753" s="1"/>
      <c r="AB753" s="1"/>
      <c r="AC753" s="1"/>
      <c r="AD753" s="4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</row>
    <row r="754" spans="1:64" ht="15.75" customHeight="1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3"/>
      <c r="X754" s="1"/>
      <c r="Y754" s="1"/>
      <c r="Z754" s="1"/>
      <c r="AA754" s="1"/>
      <c r="AB754" s="1"/>
      <c r="AC754" s="1"/>
      <c r="AD754" s="4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</row>
    <row r="755" spans="1:64" ht="15.75" customHeight="1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3"/>
      <c r="X755" s="1"/>
      <c r="Y755" s="1"/>
      <c r="Z755" s="1"/>
      <c r="AA755" s="1"/>
      <c r="AB755" s="1"/>
      <c r="AC755" s="1"/>
      <c r="AD755" s="4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</row>
    <row r="756" spans="1:64" ht="15.75" customHeight="1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3"/>
      <c r="X756" s="1"/>
      <c r="Y756" s="1"/>
      <c r="Z756" s="1"/>
      <c r="AA756" s="1"/>
      <c r="AB756" s="1"/>
      <c r="AC756" s="1"/>
      <c r="AD756" s="4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</row>
    <row r="757" spans="1:64" ht="15.75" customHeight="1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3"/>
      <c r="X757" s="1"/>
      <c r="Y757" s="1"/>
      <c r="Z757" s="1"/>
      <c r="AA757" s="1"/>
      <c r="AB757" s="1"/>
      <c r="AC757" s="1"/>
      <c r="AD757" s="4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</row>
    <row r="758" spans="1:64" ht="15.75" customHeight="1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3"/>
      <c r="X758" s="1"/>
      <c r="Y758" s="1"/>
      <c r="Z758" s="1"/>
      <c r="AA758" s="1"/>
      <c r="AB758" s="1"/>
      <c r="AC758" s="1"/>
      <c r="AD758" s="4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</row>
    <row r="759" spans="1:64" ht="15.75" customHeight="1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3"/>
      <c r="X759" s="1"/>
      <c r="Y759" s="1"/>
      <c r="Z759" s="1"/>
      <c r="AA759" s="1"/>
      <c r="AB759" s="1"/>
      <c r="AC759" s="1"/>
      <c r="AD759" s="4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</row>
    <row r="760" spans="1:64" ht="15.75" customHeight="1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3"/>
      <c r="X760" s="1"/>
      <c r="Y760" s="1"/>
      <c r="Z760" s="1"/>
      <c r="AA760" s="1"/>
      <c r="AB760" s="1"/>
      <c r="AC760" s="1"/>
      <c r="AD760" s="4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</row>
    <row r="761" spans="1:64" ht="15.75" customHeight="1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3"/>
      <c r="X761" s="1"/>
      <c r="Y761" s="1"/>
      <c r="Z761" s="1"/>
      <c r="AA761" s="1"/>
      <c r="AB761" s="1"/>
      <c r="AC761" s="1"/>
      <c r="AD761" s="4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</row>
    <row r="762" spans="1:64" ht="15.75" customHeight="1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3"/>
      <c r="X762" s="1"/>
      <c r="Y762" s="1"/>
      <c r="Z762" s="1"/>
      <c r="AA762" s="1"/>
      <c r="AB762" s="1"/>
      <c r="AC762" s="1"/>
      <c r="AD762" s="4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</row>
    <row r="763" spans="1:64" ht="15.75" customHeight="1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3"/>
      <c r="X763" s="1"/>
      <c r="Y763" s="1"/>
      <c r="Z763" s="1"/>
      <c r="AA763" s="1"/>
      <c r="AB763" s="1"/>
      <c r="AC763" s="1"/>
      <c r="AD763" s="4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</row>
    <row r="764" spans="1:64" ht="15.75" customHeight="1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3"/>
      <c r="X764" s="1"/>
      <c r="Y764" s="1"/>
      <c r="Z764" s="1"/>
      <c r="AA764" s="1"/>
      <c r="AB764" s="1"/>
      <c r="AC764" s="1"/>
      <c r="AD764" s="4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</row>
    <row r="765" spans="1:64" ht="15.75" customHeight="1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3"/>
      <c r="X765" s="1"/>
      <c r="Y765" s="1"/>
      <c r="Z765" s="1"/>
      <c r="AA765" s="1"/>
      <c r="AB765" s="1"/>
      <c r="AC765" s="1"/>
      <c r="AD765" s="4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</row>
    <row r="766" spans="1:64" ht="15.75" customHeight="1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3"/>
      <c r="X766" s="1"/>
      <c r="Y766" s="1"/>
      <c r="Z766" s="1"/>
      <c r="AA766" s="1"/>
      <c r="AB766" s="1"/>
      <c r="AC766" s="1"/>
      <c r="AD766" s="4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</row>
    <row r="767" spans="1:64" ht="15.75" customHeight="1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3"/>
      <c r="X767" s="1"/>
      <c r="Y767" s="1"/>
      <c r="Z767" s="1"/>
      <c r="AA767" s="1"/>
      <c r="AB767" s="1"/>
      <c r="AC767" s="1"/>
      <c r="AD767" s="4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</row>
    <row r="768" spans="1:64" ht="15.75" customHeight="1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3"/>
      <c r="X768" s="1"/>
      <c r="Y768" s="1"/>
      <c r="Z768" s="1"/>
      <c r="AA768" s="1"/>
      <c r="AB768" s="1"/>
      <c r="AC768" s="1"/>
      <c r="AD768" s="4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</row>
    <row r="769" spans="1:64" ht="15.75" customHeight="1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3"/>
      <c r="X769" s="1"/>
      <c r="Y769" s="1"/>
      <c r="Z769" s="1"/>
      <c r="AA769" s="1"/>
      <c r="AB769" s="1"/>
      <c r="AC769" s="1"/>
      <c r="AD769" s="4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</row>
    <row r="770" spans="1:64" ht="15.75" customHeight="1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3"/>
      <c r="X770" s="1"/>
      <c r="Y770" s="1"/>
      <c r="Z770" s="1"/>
      <c r="AA770" s="1"/>
      <c r="AB770" s="1"/>
      <c r="AC770" s="1"/>
      <c r="AD770" s="4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</row>
    <row r="771" spans="1:64" ht="15.75" customHeight="1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3"/>
      <c r="X771" s="1"/>
      <c r="Y771" s="1"/>
      <c r="Z771" s="1"/>
      <c r="AA771" s="1"/>
      <c r="AB771" s="1"/>
      <c r="AC771" s="1"/>
      <c r="AD771" s="4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</row>
    <row r="772" spans="1:64" ht="15.75" customHeight="1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3"/>
      <c r="X772" s="1"/>
      <c r="Y772" s="1"/>
      <c r="Z772" s="1"/>
      <c r="AA772" s="1"/>
      <c r="AB772" s="1"/>
      <c r="AC772" s="1"/>
      <c r="AD772" s="4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</row>
    <row r="773" spans="1:64" ht="15.75" customHeight="1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3"/>
      <c r="X773" s="1"/>
      <c r="Y773" s="1"/>
      <c r="Z773" s="1"/>
      <c r="AA773" s="1"/>
      <c r="AB773" s="1"/>
      <c r="AC773" s="1"/>
      <c r="AD773" s="4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</row>
    <row r="774" spans="1:64" ht="15.75" customHeight="1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3"/>
      <c r="X774" s="1"/>
      <c r="Y774" s="1"/>
      <c r="Z774" s="1"/>
      <c r="AA774" s="1"/>
      <c r="AB774" s="1"/>
      <c r="AC774" s="1"/>
      <c r="AD774" s="4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</row>
    <row r="775" spans="1:64" ht="15.75" customHeight="1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3"/>
      <c r="X775" s="1"/>
      <c r="Y775" s="1"/>
      <c r="Z775" s="1"/>
      <c r="AA775" s="1"/>
      <c r="AB775" s="1"/>
      <c r="AC775" s="1"/>
      <c r="AD775" s="4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</row>
    <row r="776" spans="1:64" ht="15.75" customHeight="1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3"/>
      <c r="X776" s="1"/>
      <c r="Y776" s="1"/>
      <c r="Z776" s="1"/>
      <c r="AA776" s="1"/>
      <c r="AB776" s="1"/>
      <c r="AC776" s="1"/>
      <c r="AD776" s="4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</row>
    <row r="777" spans="1:64" ht="15.75" customHeight="1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3"/>
      <c r="X777" s="1"/>
      <c r="Y777" s="1"/>
      <c r="Z777" s="1"/>
      <c r="AA777" s="1"/>
      <c r="AB777" s="1"/>
      <c r="AC777" s="1"/>
      <c r="AD777" s="4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</row>
    <row r="778" spans="1:64" ht="15.75" customHeight="1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3"/>
      <c r="X778" s="1"/>
      <c r="Y778" s="1"/>
      <c r="Z778" s="1"/>
      <c r="AA778" s="1"/>
      <c r="AB778" s="1"/>
      <c r="AC778" s="1"/>
      <c r="AD778" s="4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</row>
    <row r="779" spans="1:64" ht="15.75" customHeight="1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3"/>
      <c r="X779" s="1"/>
      <c r="Y779" s="1"/>
      <c r="Z779" s="1"/>
      <c r="AA779" s="1"/>
      <c r="AB779" s="1"/>
      <c r="AC779" s="1"/>
      <c r="AD779" s="4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</row>
    <row r="780" spans="1:64" ht="15.75" customHeight="1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3"/>
      <c r="X780" s="1"/>
      <c r="Y780" s="1"/>
      <c r="Z780" s="1"/>
      <c r="AA780" s="1"/>
      <c r="AB780" s="1"/>
      <c r="AC780" s="1"/>
      <c r="AD780" s="4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</row>
    <row r="781" spans="1:64" ht="15.75" customHeight="1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3"/>
      <c r="X781" s="1"/>
      <c r="Y781" s="1"/>
      <c r="Z781" s="1"/>
      <c r="AA781" s="1"/>
      <c r="AB781" s="1"/>
      <c r="AC781" s="1"/>
      <c r="AD781" s="4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</row>
    <row r="782" spans="1:64" ht="15.75" customHeight="1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3"/>
      <c r="X782" s="1"/>
      <c r="Y782" s="1"/>
      <c r="Z782" s="1"/>
      <c r="AA782" s="1"/>
      <c r="AB782" s="1"/>
      <c r="AC782" s="1"/>
      <c r="AD782" s="4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</row>
    <row r="783" spans="1:64" ht="15.75" customHeight="1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3"/>
      <c r="X783" s="1"/>
      <c r="Y783" s="1"/>
      <c r="Z783" s="1"/>
      <c r="AA783" s="1"/>
      <c r="AB783" s="1"/>
      <c r="AC783" s="1"/>
      <c r="AD783" s="4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</row>
    <row r="784" spans="1:64" ht="15.75" customHeight="1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3"/>
      <c r="X784" s="1"/>
      <c r="Y784" s="1"/>
      <c r="Z784" s="1"/>
      <c r="AA784" s="1"/>
      <c r="AB784" s="1"/>
      <c r="AC784" s="1"/>
      <c r="AD784" s="4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</row>
    <row r="785" spans="1:64" ht="15.75" customHeight="1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3"/>
      <c r="X785" s="1"/>
      <c r="Y785" s="1"/>
      <c r="Z785" s="1"/>
      <c r="AA785" s="1"/>
      <c r="AB785" s="1"/>
      <c r="AC785" s="1"/>
      <c r="AD785" s="4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</row>
    <row r="786" spans="1:64" ht="15.75" customHeight="1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3"/>
      <c r="X786" s="1"/>
      <c r="Y786" s="1"/>
      <c r="Z786" s="1"/>
      <c r="AA786" s="1"/>
      <c r="AB786" s="1"/>
      <c r="AC786" s="1"/>
      <c r="AD786" s="4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</row>
    <row r="787" spans="1:64" ht="15.75" customHeight="1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3"/>
      <c r="X787" s="1"/>
      <c r="Y787" s="1"/>
      <c r="Z787" s="1"/>
      <c r="AA787" s="1"/>
      <c r="AB787" s="1"/>
      <c r="AC787" s="1"/>
      <c r="AD787" s="4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</row>
    <row r="788" spans="1:64" ht="15.75" customHeight="1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3"/>
      <c r="X788" s="1"/>
      <c r="Y788" s="1"/>
      <c r="Z788" s="1"/>
      <c r="AA788" s="1"/>
      <c r="AB788" s="1"/>
      <c r="AC788" s="1"/>
      <c r="AD788" s="4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</row>
    <row r="789" spans="1:64" ht="15.75" customHeight="1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3"/>
      <c r="X789" s="1"/>
      <c r="Y789" s="1"/>
      <c r="Z789" s="1"/>
      <c r="AA789" s="1"/>
      <c r="AB789" s="1"/>
      <c r="AC789" s="1"/>
      <c r="AD789" s="4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</row>
    <row r="790" spans="1:64" ht="15.75" customHeight="1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3"/>
      <c r="X790" s="1"/>
      <c r="Y790" s="1"/>
      <c r="Z790" s="1"/>
      <c r="AA790" s="1"/>
      <c r="AB790" s="1"/>
      <c r="AC790" s="1"/>
      <c r="AD790" s="4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</row>
    <row r="791" spans="1:64" ht="15.75" customHeight="1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3"/>
      <c r="X791" s="1"/>
      <c r="Y791" s="1"/>
      <c r="Z791" s="1"/>
      <c r="AA791" s="1"/>
      <c r="AB791" s="1"/>
      <c r="AC791" s="1"/>
      <c r="AD791" s="4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</row>
    <row r="792" spans="1:64" ht="15.75" customHeight="1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3"/>
      <c r="X792" s="1"/>
      <c r="Y792" s="1"/>
      <c r="Z792" s="1"/>
      <c r="AA792" s="1"/>
      <c r="AB792" s="1"/>
      <c r="AC792" s="1"/>
      <c r="AD792" s="4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</row>
    <row r="793" spans="1:64" ht="15.75" customHeight="1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3"/>
      <c r="X793" s="1"/>
      <c r="Y793" s="1"/>
      <c r="Z793" s="1"/>
      <c r="AA793" s="1"/>
      <c r="AB793" s="1"/>
      <c r="AC793" s="1"/>
      <c r="AD793" s="4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</row>
    <row r="794" spans="1:64" ht="15.75" customHeight="1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3"/>
      <c r="X794" s="1"/>
      <c r="Y794" s="1"/>
      <c r="Z794" s="1"/>
      <c r="AA794" s="1"/>
      <c r="AB794" s="1"/>
      <c r="AC794" s="1"/>
      <c r="AD794" s="4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</row>
    <row r="795" spans="1:64" ht="15.75" customHeight="1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3"/>
      <c r="X795" s="1"/>
      <c r="Y795" s="1"/>
      <c r="Z795" s="1"/>
      <c r="AA795" s="1"/>
      <c r="AB795" s="1"/>
      <c r="AC795" s="1"/>
      <c r="AD795" s="4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</row>
    <row r="796" spans="1:64" ht="15.75" customHeight="1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3"/>
      <c r="X796" s="1"/>
      <c r="Y796" s="1"/>
      <c r="Z796" s="1"/>
      <c r="AA796" s="1"/>
      <c r="AB796" s="1"/>
      <c r="AC796" s="1"/>
      <c r="AD796" s="4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</row>
    <row r="797" spans="1:64" ht="15.75" customHeight="1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3"/>
      <c r="X797" s="1"/>
      <c r="Y797" s="1"/>
      <c r="Z797" s="1"/>
      <c r="AA797" s="1"/>
      <c r="AB797" s="1"/>
      <c r="AC797" s="1"/>
      <c r="AD797" s="4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</row>
    <row r="798" spans="1:64" ht="15.75" customHeight="1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3"/>
      <c r="X798" s="1"/>
      <c r="Y798" s="1"/>
      <c r="Z798" s="1"/>
      <c r="AA798" s="1"/>
      <c r="AB798" s="1"/>
      <c r="AC798" s="1"/>
      <c r="AD798" s="4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</row>
    <row r="799" spans="1:64" ht="15.75" customHeight="1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3"/>
      <c r="X799" s="1"/>
      <c r="Y799" s="1"/>
      <c r="Z799" s="1"/>
      <c r="AA799" s="1"/>
      <c r="AB799" s="1"/>
      <c r="AC799" s="1"/>
      <c r="AD799" s="4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</row>
    <row r="800" spans="1:64" ht="15.75" customHeight="1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3"/>
      <c r="X800" s="1"/>
      <c r="Y800" s="1"/>
      <c r="Z800" s="1"/>
      <c r="AA800" s="1"/>
      <c r="AB800" s="1"/>
      <c r="AC800" s="1"/>
      <c r="AD800" s="4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</row>
    <row r="801" spans="1:64" ht="15.75" customHeight="1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3"/>
      <c r="X801" s="1"/>
      <c r="Y801" s="1"/>
      <c r="Z801" s="1"/>
      <c r="AA801" s="1"/>
      <c r="AB801" s="1"/>
      <c r="AC801" s="1"/>
      <c r="AD801" s="4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</row>
    <row r="802" spans="1:64" ht="15.75" customHeight="1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3"/>
      <c r="X802" s="1"/>
      <c r="Y802" s="1"/>
      <c r="Z802" s="1"/>
      <c r="AA802" s="1"/>
      <c r="AB802" s="1"/>
      <c r="AC802" s="1"/>
      <c r="AD802" s="4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</row>
    <row r="803" spans="1:64" ht="15.75" customHeight="1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3"/>
      <c r="X803" s="1"/>
      <c r="Y803" s="1"/>
      <c r="Z803" s="1"/>
      <c r="AA803" s="1"/>
      <c r="AB803" s="1"/>
      <c r="AC803" s="1"/>
      <c r="AD803" s="4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</row>
    <row r="804" spans="1:64" ht="15.75" customHeight="1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3"/>
      <c r="X804" s="1"/>
      <c r="Y804" s="1"/>
      <c r="Z804" s="1"/>
      <c r="AA804" s="1"/>
      <c r="AB804" s="1"/>
      <c r="AC804" s="1"/>
      <c r="AD804" s="4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</row>
    <row r="805" spans="1:64" ht="15.75" customHeight="1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3"/>
      <c r="X805" s="1"/>
      <c r="Y805" s="1"/>
      <c r="Z805" s="1"/>
      <c r="AA805" s="1"/>
      <c r="AB805" s="1"/>
      <c r="AC805" s="1"/>
      <c r="AD805" s="4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</row>
    <row r="806" spans="1:64" ht="15.75" customHeight="1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3"/>
      <c r="X806" s="1"/>
      <c r="Y806" s="1"/>
      <c r="Z806" s="1"/>
      <c r="AA806" s="1"/>
      <c r="AB806" s="1"/>
      <c r="AC806" s="1"/>
      <c r="AD806" s="4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</row>
    <row r="807" spans="1:64" ht="15.75" customHeight="1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3"/>
      <c r="X807" s="1"/>
      <c r="Y807" s="1"/>
      <c r="Z807" s="1"/>
      <c r="AA807" s="1"/>
      <c r="AB807" s="1"/>
      <c r="AC807" s="1"/>
      <c r="AD807" s="4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</row>
    <row r="808" spans="1:64" ht="15.75" customHeight="1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3"/>
      <c r="X808" s="1"/>
      <c r="Y808" s="1"/>
      <c r="Z808" s="1"/>
      <c r="AA808" s="1"/>
      <c r="AB808" s="1"/>
      <c r="AC808" s="1"/>
      <c r="AD808" s="4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</row>
    <row r="809" spans="1:64" ht="15.75" customHeight="1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3"/>
      <c r="X809" s="1"/>
      <c r="Y809" s="1"/>
      <c r="Z809" s="1"/>
      <c r="AA809" s="1"/>
      <c r="AB809" s="1"/>
      <c r="AC809" s="1"/>
      <c r="AD809" s="4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</row>
    <row r="810" spans="1:64" ht="15.75" customHeight="1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3"/>
      <c r="X810" s="1"/>
      <c r="Y810" s="1"/>
      <c r="Z810" s="1"/>
      <c r="AA810" s="1"/>
      <c r="AB810" s="1"/>
      <c r="AC810" s="1"/>
      <c r="AD810" s="4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</row>
    <row r="811" spans="1:64" ht="15.75" customHeight="1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3"/>
      <c r="X811" s="1"/>
      <c r="Y811" s="1"/>
      <c r="Z811" s="1"/>
      <c r="AA811" s="1"/>
      <c r="AB811" s="1"/>
      <c r="AC811" s="1"/>
      <c r="AD811" s="4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</row>
    <row r="812" spans="1:64" ht="15.75" customHeight="1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3"/>
      <c r="X812" s="1"/>
      <c r="Y812" s="1"/>
      <c r="Z812" s="1"/>
      <c r="AA812" s="1"/>
      <c r="AB812" s="1"/>
      <c r="AC812" s="1"/>
      <c r="AD812" s="4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</row>
    <row r="813" spans="1:64" ht="15.75" customHeight="1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3"/>
      <c r="X813" s="1"/>
      <c r="Y813" s="1"/>
      <c r="Z813" s="1"/>
      <c r="AA813" s="1"/>
      <c r="AB813" s="1"/>
      <c r="AC813" s="1"/>
      <c r="AD813" s="4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</row>
    <row r="814" spans="1:64" ht="15.75" customHeight="1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3"/>
      <c r="X814" s="1"/>
      <c r="Y814" s="1"/>
      <c r="Z814" s="1"/>
      <c r="AA814" s="1"/>
      <c r="AB814" s="1"/>
      <c r="AC814" s="1"/>
      <c r="AD814" s="4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</row>
    <row r="815" spans="1:64" ht="15.75" customHeight="1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3"/>
      <c r="X815" s="1"/>
      <c r="Y815" s="1"/>
      <c r="Z815" s="1"/>
      <c r="AA815" s="1"/>
      <c r="AB815" s="1"/>
      <c r="AC815" s="1"/>
      <c r="AD815" s="4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</row>
    <row r="816" spans="1:64" ht="15.75" customHeight="1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3"/>
      <c r="X816" s="1"/>
      <c r="Y816" s="1"/>
      <c r="Z816" s="1"/>
      <c r="AA816" s="1"/>
      <c r="AB816" s="1"/>
      <c r="AC816" s="1"/>
      <c r="AD816" s="4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</row>
    <row r="817" spans="1:64" ht="15.75" customHeight="1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3"/>
      <c r="X817" s="1"/>
      <c r="Y817" s="1"/>
      <c r="Z817" s="1"/>
      <c r="AA817" s="1"/>
      <c r="AB817" s="1"/>
      <c r="AC817" s="1"/>
      <c r="AD817" s="4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</row>
    <row r="818" spans="1:64" ht="15.75" customHeight="1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3"/>
      <c r="X818" s="1"/>
      <c r="Y818" s="1"/>
      <c r="Z818" s="1"/>
      <c r="AA818" s="1"/>
      <c r="AB818" s="1"/>
      <c r="AC818" s="1"/>
      <c r="AD818" s="4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</row>
    <row r="819" spans="1:64" ht="15.75" customHeight="1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3"/>
      <c r="X819" s="1"/>
      <c r="Y819" s="1"/>
      <c r="Z819" s="1"/>
      <c r="AA819" s="1"/>
      <c r="AB819" s="1"/>
      <c r="AC819" s="1"/>
      <c r="AD819" s="4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</row>
    <row r="820" spans="1:64" ht="15.75" customHeight="1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3"/>
      <c r="X820" s="1"/>
      <c r="Y820" s="1"/>
      <c r="Z820" s="1"/>
      <c r="AA820" s="1"/>
      <c r="AB820" s="1"/>
      <c r="AC820" s="1"/>
      <c r="AD820" s="4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</row>
    <row r="821" spans="1:64" ht="15.75" customHeight="1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3"/>
      <c r="X821" s="1"/>
      <c r="Y821" s="1"/>
      <c r="Z821" s="1"/>
      <c r="AA821" s="1"/>
      <c r="AB821" s="1"/>
      <c r="AC821" s="1"/>
      <c r="AD821" s="4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</row>
    <row r="822" spans="1:64" ht="15.75" customHeight="1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3"/>
      <c r="X822" s="1"/>
      <c r="Y822" s="1"/>
      <c r="Z822" s="1"/>
      <c r="AA822" s="1"/>
      <c r="AB822" s="1"/>
      <c r="AC822" s="1"/>
      <c r="AD822" s="4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</row>
    <row r="823" spans="1:64" ht="15.75" customHeight="1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3"/>
      <c r="X823" s="1"/>
      <c r="Y823" s="1"/>
      <c r="Z823" s="1"/>
      <c r="AA823" s="1"/>
      <c r="AB823" s="1"/>
      <c r="AC823" s="1"/>
      <c r="AD823" s="4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</row>
    <row r="824" spans="1:64" ht="15.75" customHeight="1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3"/>
      <c r="X824" s="1"/>
      <c r="Y824" s="1"/>
      <c r="Z824" s="1"/>
      <c r="AA824" s="1"/>
      <c r="AB824" s="1"/>
      <c r="AC824" s="1"/>
      <c r="AD824" s="4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</row>
    <row r="825" spans="1:64" ht="15.75" customHeight="1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3"/>
      <c r="X825" s="1"/>
      <c r="Y825" s="1"/>
      <c r="Z825" s="1"/>
      <c r="AA825" s="1"/>
      <c r="AB825" s="1"/>
      <c r="AC825" s="1"/>
      <c r="AD825" s="4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</row>
    <row r="826" spans="1:64" ht="15.75" customHeight="1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3"/>
      <c r="X826" s="1"/>
      <c r="Y826" s="1"/>
      <c r="Z826" s="1"/>
      <c r="AA826" s="1"/>
      <c r="AB826" s="1"/>
      <c r="AC826" s="1"/>
      <c r="AD826" s="4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</row>
    <row r="827" spans="1:64" ht="15.75" customHeight="1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3"/>
      <c r="X827" s="1"/>
      <c r="Y827" s="1"/>
      <c r="Z827" s="1"/>
      <c r="AA827" s="1"/>
      <c r="AB827" s="1"/>
      <c r="AC827" s="1"/>
      <c r="AD827" s="4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</row>
    <row r="828" spans="1:64" ht="15.75" customHeight="1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3"/>
      <c r="X828" s="1"/>
      <c r="Y828" s="1"/>
      <c r="Z828" s="1"/>
      <c r="AA828" s="1"/>
      <c r="AB828" s="1"/>
      <c r="AC828" s="1"/>
      <c r="AD828" s="4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</row>
    <row r="829" spans="1:64" ht="15.75" customHeight="1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3"/>
      <c r="X829" s="1"/>
      <c r="Y829" s="1"/>
      <c r="Z829" s="1"/>
      <c r="AA829" s="1"/>
      <c r="AB829" s="1"/>
      <c r="AC829" s="1"/>
      <c r="AD829" s="4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</row>
    <row r="830" spans="1:64" ht="15.75" customHeight="1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3"/>
      <c r="X830" s="1"/>
      <c r="Y830" s="1"/>
      <c r="Z830" s="1"/>
      <c r="AA830" s="1"/>
      <c r="AB830" s="1"/>
      <c r="AC830" s="1"/>
      <c r="AD830" s="4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</row>
    <row r="831" spans="1:64" ht="15.75" customHeight="1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3"/>
      <c r="X831" s="1"/>
      <c r="Y831" s="1"/>
      <c r="Z831" s="1"/>
      <c r="AA831" s="1"/>
      <c r="AB831" s="1"/>
      <c r="AC831" s="1"/>
      <c r="AD831" s="4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</row>
    <row r="832" spans="1:64" ht="15.75" customHeight="1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3"/>
      <c r="X832" s="1"/>
      <c r="Y832" s="1"/>
      <c r="Z832" s="1"/>
      <c r="AA832" s="1"/>
      <c r="AB832" s="1"/>
      <c r="AC832" s="1"/>
      <c r="AD832" s="4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</row>
    <row r="833" spans="1:64" ht="15.75" customHeight="1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3"/>
      <c r="X833" s="1"/>
      <c r="Y833" s="1"/>
      <c r="Z833" s="1"/>
      <c r="AA833" s="1"/>
      <c r="AB833" s="1"/>
      <c r="AC833" s="1"/>
      <c r="AD833" s="4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</row>
    <row r="834" spans="1:64" ht="15.75" customHeight="1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3"/>
      <c r="X834" s="1"/>
      <c r="Y834" s="1"/>
      <c r="Z834" s="1"/>
      <c r="AA834" s="1"/>
      <c r="AB834" s="1"/>
      <c r="AC834" s="1"/>
      <c r="AD834" s="4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</row>
    <row r="835" spans="1:64" ht="15.75" customHeight="1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3"/>
      <c r="X835" s="1"/>
      <c r="Y835" s="1"/>
      <c r="Z835" s="1"/>
      <c r="AA835" s="1"/>
      <c r="AB835" s="1"/>
      <c r="AC835" s="1"/>
      <c r="AD835" s="4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</row>
    <row r="836" spans="1:64" ht="15.75" customHeight="1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3"/>
      <c r="X836" s="1"/>
      <c r="Y836" s="1"/>
      <c r="Z836" s="1"/>
      <c r="AA836" s="1"/>
      <c r="AB836" s="1"/>
      <c r="AC836" s="1"/>
      <c r="AD836" s="4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</row>
    <row r="837" spans="1:64" ht="15.75" customHeight="1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3"/>
      <c r="X837" s="1"/>
      <c r="Y837" s="1"/>
      <c r="Z837" s="1"/>
      <c r="AA837" s="1"/>
      <c r="AB837" s="1"/>
      <c r="AC837" s="1"/>
      <c r="AD837" s="4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</row>
    <row r="838" spans="1:64" ht="15.75" customHeight="1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3"/>
      <c r="X838" s="1"/>
      <c r="Y838" s="1"/>
      <c r="Z838" s="1"/>
      <c r="AA838" s="1"/>
      <c r="AB838" s="1"/>
      <c r="AC838" s="1"/>
      <c r="AD838" s="4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</row>
    <row r="839" spans="1:64" ht="15.75" customHeight="1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3"/>
      <c r="X839" s="1"/>
      <c r="Y839" s="1"/>
      <c r="Z839" s="1"/>
      <c r="AA839" s="1"/>
      <c r="AB839" s="1"/>
      <c r="AC839" s="1"/>
      <c r="AD839" s="4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</row>
    <row r="840" spans="1:64" ht="15.75" customHeight="1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3"/>
      <c r="X840" s="1"/>
      <c r="Y840" s="1"/>
      <c r="Z840" s="1"/>
      <c r="AA840" s="1"/>
      <c r="AB840" s="1"/>
      <c r="AC840" s="1"/>
      <c r="AD840" s="4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</row>
    <row r="841" spans="1:64" ht="15.75" customHeight="1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3"/>
      <c r="X841" s="1"/>
      <c r="Y841" s="1"/>
      <c r="Z841" s="1"/>
      <c r="AA841" s="1"/>
      <c r="AB841" s="1"/>
      <c r="AC841" s="1"/>
      <c r="AD841" s="4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</row>
    <row r="842" spans="1:64" ht="15.75" customHeight="1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3"/>
      <c r="X842" s="1"/>
      <c r="Y842" s="1"/>
      <c r="Z842" s="1"/>
      <c r="AA842" s="1"/>
      <c r="AB842" s="1"/>
      <c r="AC842" s="1"/>
      <c r="AD842" s="4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</row>
    <row r="843" spans="1:64" ht="15.75" customHeight="1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3"/>
      <c r="X843" s="1"/>
      <c r="Y843" s="1"/>
      <c r="Z843" s="1"/>
      <c r="AA843" s="1"/>
      <c r="AB843" s="1"/>
      <c r="AC843" s="1"/>
      <c r="AD843" s="4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</row>
    <row r="844" spans="1:64" ht="15.75" customHeight="1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3"/>
      <c r="X844" s="1"/>
      <c r="Y844" s="1"/>
      <c r="Z844" s="1"/>
      <c r="AA844" s="1"/>
      <c r="AB844" s="1"/>
      <c r="AC844" s="1"/>
      <c r="AD844" s="4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</row>
    <row r="845" spans="1:64" ht="15.75" customHeight="1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3"/>
      <c r="X845" s="1"/>
      <c r="Y845" s="1"/>
      <c r="Z845" s="1"/>
      <c r="AA845" s="1"/>
      <c r="AB845" s="1"/>
      <c r="AC845" s="1"/>
      <c r="AD845" s="4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</row>
    <row r="846" spans="1:64" ht="15.75" customHeight="1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3"/>
      <c r="X846" s="1"/>
      <c r="Y846" s="1"/>
      <c r="Z846" s="1"/>
      <c r="AA846" s="1"/>
      <c r="AB846" s="1"/>
      <c r="AC846" s="1"/>
      <c r="AD846" s="4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</row>
    <row r="847" spans="1:64" ht="15.75" customHeight="1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3"/>
      <c r="X847" s="1"/>
      <c r="Y847" s="1"/>
      <c r="Z847" s="1"/>
      <c r="AA847" s="1"/>
      <c r="AB847" s="1"/>
      <c r="AC847" s="1"/>
      <c r="AD847" s="4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</row>
    <row r="848" spans="1:64" ht="15.75" customHeight="1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3"/>
      <c r="X848" s="1"/>
      <c r="Y848" s="1"/>
      <c r="Z848" s="1"/>
      <c r="AA848" s="1"/>
      <c r="AB848" s="1"/>
      <c r="AC848" s="1"/>
      <c r="AD848" s="4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</row>
    <row r="849" spans="1:64" ht="15.75" customHeight="1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3"/>
      <c r="X849" s="1"/>
      <c r="Y849" s="1"/>
      <c r="Z849" s="1"/>
      <c r="AA849" s="1"/>
      <c r="AB849" s="1"/>
      <c r="AC849" s="1"/>
      <c r="AD849" s="4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</row>
    <row r="850" spans="1:64" ht="15.75" customHeight="1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3"/>
      <c r="X850" s="1"/>
      <c r="Y850" s="1"/>
      <c r="Z850" s="1"/>
      <c r="AA850" s="1"/>
      <c r="AB850" s="1"/>
      <c r="AC850" s="1"/>
      <c r="AD850" s="4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</row>
    <row r="851" spans="1:64" ht="15.75" customHeight="1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3"/>
      <c r="X851" s="1"/>
      <c r="Y851" s="1"/>
      <c r="Z851" s="1"/>
      <c r="AA851" s="1"/>
      <c r="AB851" s="1"/>
      <c r="AC851" s="1"/>
      <c r="AD851" s="4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</row>
    <row r="852" spans="1:64" ht="15.75" customHeight="1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3"/>
      <c r="X852" s="1"/>
      <c r="Y852" s="1"/>
      <c r="Z852" s="1"/>
      <c r="AA852" s="1"/>
      <c r="AB852" s="1"/>
      <c r="AC852" s="1"/>
      <c r="AD852" s="4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</row>
    <row r="853" spans="1:64" ht="15.75" customHeight="1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3"/>
      <c r="X853" s="1"/>
      <c r="Y853" s="1"/>
      <c r="Z853" s="1"/>
      <c r="AA853" s="1"/>
      <c r="AB853" s="1"/>
      <c r="AC853" s="1"/>
      <c r="AD853" s="4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</row>
    <row r="854" spans="1:64" ht="15.75" customHeight="1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3"/>
      <c r="X854" s="1"/>
      <c r="Y854" s="1"/>
      <c r="Z854" s="1"/>
      <c r="AA854" s="1"/>
      <c r="AB854" s="1"/>
      <c r="AC854" s="1"/>
      <c r="AD854" s="4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</row>
    <row r="855" spans="1:64" ht="15.75" customHeight="1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3"/>
      <c r="X855" s="1"/>
      <c r="Y855" s="1"/>
      <c r="Z855" s="1"/>
      <c r="AA855" s="1"/>
      <c r="AB855" s="1"/>
      <c r="AC855" s="1"/>
      <c r="AD855" s="4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</row>
    <row r="856" spans="1:64" ht="15.75" customHeight="1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3"/>
      <c r="X856" s="1"/>
      <c r="Y856" s="1"/>
      <c r="Z856" s="1"/>
      <c r="AA856" s="1"/>
      <c r="AB856" s="1"/>
      <c r="AC856" s="1"/>
      <c r="AD856" s="4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</row>
    <row r="857" spans="1:64" ht="15.75" customHeight="1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3"/>
      <c r="X857" s="1"/>
      <c r="Y857" s="1"/>
      <c r="Z857" s="1"/>
      <c r="AA857" s="1"/>
      <c r="AB857" s="1"/>
      <c r="AC857" s="1"/>
      <c r="AD857" s="4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</row>
    <row r="858" spans="1:64" ht="15.75" customHeight="1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3"/>
      <c r="X858" s="1"/>
      <c r="Y858" s="1"/>
      <c r="Z858" s="1"/>
      <c r="AA858" s="1"/>
      <c r="AB858" s="1"/>
      <c r="AC858" s="1"/>
      <c r="AD858" s="4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</row>
    <row r="859" spans="1:64" ht="15.75" customHeight="1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3"/>
      <c r="X859" s="1"/>
      <c r="Y859" s="1"/>
      <c r="Z859" s="1"/>
      <c r="AA859" s="1"/>
      <c r="AB859" s="1"/>
      <c r="AC859" s="1"/>
      <c r="AD859" s="4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</row>
    <row r="860" spans="1:64" ht="15.75" customHeight="1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3"/>
      <c r="X860" s="1"/>
      <c r="Y860" s="1"/>
      <c r="Z860" s="1"/>
      <c r="AA860" s="1"/>
      <c r="AB860" s="1"/>
      <c r="AC860" s="1"/>
      <c r="AD860" s="4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</row>
    <row r="861" spans="1:64" ht="15.75" customHeight="1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3"/>
      <c r="X861" s="1"/>
      <c r="Y861" s="1"/>
      <c r="Z861" s="1"/>
      <c r="AA861" s="1"/>
      <c r="AB861" s="1"/>
      <c r="AC861" s="1"/>
      <c r="AD861" s="4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</row>
    <row r="862" spans="1:64" ht="15.75" customHeight="1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3"/>
      <c r="X862" s="1"/>
      <c r="Y862" s="1"/>
      <c r="Z862" s="1"/>
      <c r="AA862" s="1"/>
      <c r="AB862" s="1"/>
      <c r="AC862" s="1"/>
      <c r="AD862" s="4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</row>
    <row r="863" spans="1:64" ht="15.75" customHeight="1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3"/>
      <c r="X863" s="1"/>
      <c r="Y863" s="1"/>
      <c r="Z863" s="1"/>
      <c r="AA863" s="1"/>
      <c r="AB863" s="1"/>
      <c r="AC863" s="1"/>
      <c r="AD863" s="4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</row>
    <row r="864" spans="1:64" ht="15.75" customHeight="1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3"/>
      <c r="X864" s="1"/>
      <c r="Y864" s="1"/>
      <c r="Z864" s="1"/>
      <c r="AA864" s="1"/>
      <c r="AB864" s="1"/>
      <c r="AC864" s="1"/>
      <c r="AD864" s="4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</row>
    <row r="865" spans="1:64" ht="15.75" customHeight="1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3"/>
      <c r="X865" s="1"/>
      <c r="Y865" s="1"/>
      <c r="Z865" s="1"/>
      <c r="AA865" s="1"/>
      <c r="AB865" s="1"/>
      <c r="AC865" s="1"/>
      <c r="AD865" s="4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</row>
    <row r="866" spans="1:64" ht="15.75" customHeight="1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3"/>
      <c r="X866" s="1"/>
      <c r="Y866" s="1"/>
      <c r="Z866" s="1"/>
      <c r="AA866" s="1"/>
      <c r="AB866" s="1"/>
      <c r="AC866" s="1"/>
      <c r="AD866" s="4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</row>
    <row r="867" spans="1:64" ht="15.75" customHeight="1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3"/>
      <c r="X867" s="1"/>
      <c r="Y867" s="1"/>
      <c r="Z867" s="1"/>
      <c r="AA867" s="1"/>
      <c r="AB867" s="1"/>
      <c r="AC867" s="1"/>
      <c r="AD867" s="4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</row>
    <row r="868" spans="1:64" ht="15.75" customHeight="1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3"/>
      <c r="X868" s="1"/>
      <c r="Y868" s="1"/>
      <c r="Z868" s="1"/>
      <c r="AA868" s="1"/>
      <c r="AB868" s="1"/>
      <c r="AC868" s="1"/>
      <c r="AD868" s="4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</row>
    <row r="869" spans="1:64" ht="15.75" customHeight="1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3"/>
      <c r="X869" s="1"/>
      <c r="Y869" s="1"/>
      <c r="Z869" s="1"/>
      <c r="AA869" s="1"/>
      <c r="AB869" s="1"/>
      <c r="AC869" s="1"/>
      <c r="AD869" s="4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</row>
    <row r="870" spans="1:64" ht="15.75" customHeight="1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3"/>
      <c r="X870" s="1"/>
      <c r="Y870" s="1"/>
      <c r="Z870" s="1"/>
      <c r="AA870" s="1"/>
      <c r="AB870" s="1"/>
      <c r="AC870" s="1"/>
      <c r="AD870" s="4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</row>
    <row r="871" spans="1:64" ht="15.75" customHeight="1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3"/>
      <c r="X871" s="1"/>
      <c r="Y871" s="1"/>
      <c r="Z871" s="1"/>
      <c r="AA871" s="1"/>
      <c r="AB871" s="1"/>
      <c r="AC871" s="1"/>
      <c r="AD871" s="4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</row>
    <row r="872" spans="1:64" ht="15.75" customHeight="1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3"/>
      <c r="X872" s="1"/>
      <c r="Y872" s="1"/>
      <c r="Z872" s="1"/>
      <c r="AA872" s="1"/>
      <c r="AB872" s="1"/>
      <c r="AC872" s="1"/>
      <c r="AD872" s="4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</row>
    <row r="873" spans="1:64" ht="15.75" customHeight="1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3"/>
      <c r="X873" s="1"/>
      <c r="Y873" s="1"/>
      <c r="Z873" s="1"/>
      <c r="AA873" s="1"/>
      <c r="AB873" s="1"/>
      <c r="AC873" s="1"/>
      <c r="AD873" s="4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</row>
    <row r="874" spans="1:64" ht="15.75" customHeight="1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3"/>
      <c r="X874" s="1"/>
      <c r="Y874" s="1"/>
      <c r="Z874" s="1"/>
      <c r="AA874" s="1"/>
      <c r="AB874" s="1"/>
      <c r="AC874" s="1"/>
      <c r="AD874" s="4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</row>
    <row r="875" spans="1:64" ht="15.75" customHeight="1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3"/>
      <c r="X875" s="1"/>
      <c r="Y875" s="1"/>
      <c r="Z875" s="1"/>
      <c r="AA875" s="1"/>
      <c r="AB875" s="1"/>
      <c r="AC875" s="1"/>
      <c r="AD875" s="4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</row>
    <row r="876" spans="1:64" ht="15.75" customHeight="1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3"/>
      <c r="X876" s="1"/>
      <c r="Y876" s="1"/>
      <c r="Z876" s="1"/>
      <c r="AA876" s="1"/>
      <c r="AB876" s="1"/>
      <c r="AC876" s="1"/>
      <c r="AD876" s="4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</row>
    <row r="877" spans="1:64" ht="15.75" customHeight="1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3"/>
      <c r="X877" s="1"/>
      <c r="Y877" s="1"/>
      <c r="Z877" s="1"/>
      <c r="AA877" s="1"/>
      <c r="AB877" s="1"/>
      <c r="AC877" s="1"/>
      <c r="AD877" s="4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</row>
    <row r="878" spans="1:64" ht="15.75" customHeight="1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3"/>
      <c r="X878" s="1"/>
      <c r="Y878" s="1"/>
      <c r="Z878" s="1"/>
      <c r="AA878" s="1"/>
      <c r="AB878" s="1"/>
      <c r="AC878" s="1"/>
      <c r="AD878" s="4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</row>
    <row r="879" spans="1:64" ht="15.75" customHeight="1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3"/>
      <c r="X879" s="1"/>
      <c r="Y879" s="1"/>
      <c r="Z879" s="1"/>
      <c r="AA879" s="1"/>
      <c r="AB879" s="1"/>
      <c r="AC879" s="1"/>
      <c r="AD879" s="4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</row>
    <row r="880" spans="1:64" ht="15.75" customHeight="1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3"/>
      <c r="X880" s="1"/>
      <c r="Y880" s="1"/>
      <c r="Z880" s="1"/>
      <c r="AA880" s="1"/>
      <c r="AB880" s="1"/>
      <c r="AC880" s="1"/>
      <c r="AD880" s="4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</row>
    <row r="881" spans="1:64" ht="15.75" customHeight="1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3"/>
      <c r="X881" s="1"/>
      <c r="Y881" s="1"/>
      <c r="Z881" s="1"/>
      <c r="AA881" s="1"/>
      <c r="AB881" s="1"/>
      <c r="AC881" s="1"/>
      <c r="AD881" s="4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</row>
    <row r="882" spans="1:64" ht="15.75" customHeight="1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3"/>
      <c r="X882" s="1"/>
      <c r="Y882" s="1"/>
      <c r="Z882" s="1"/>
      <c r="AA882" s="1"/>
      <c r="AB882" s="1"/>
      <c r="AC882" s="1"/>
      <c r="AD882" s="4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</row>
    <row r="883" spans="1:64" ht="15.75" customHeight="1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3"/>
      <c r="X883" s="1"/>
      <c r="Y883" s="1"/>
      <c r="Z883" s="1"/>
      <c r="AA883" s="1"/>
      <c r="AB883" s="1"/>
      <c r="AC883" s="1"/>
      <c r="AD883" s="4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</row>
    <row r="884" spans="1:64" ht="15.75" customHeight="1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3"/>
      <c r="X884" s="1"/>
      <c r="Y884" s="1"/>
      <c r="Z884" s="1"/>
      <c r="AA884" s="1"/>
      <c r="AB884" s="1"/>
      <c r="AC884" s="1"/>
      <c r="AD884" s="4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</row>
    <row r="885" spans="1:64" ht="15.75" customHeight="1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3"/>
      <c r="X885" s="1"/>
      <c r="Y885" s="1"/>
      <c r="Z885" s="1"/>
      <c r="AA885" s="1"/>
      <c r="AB885" s="1"/>
      <c r="AC885" s="1"/>
      <c r="AD885" s="4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</row>
    <row r="886" spans="1:64" ht="15.75" customHeight="1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3"/>
      <c r="X886" s="1"/>
      <c r="Y886" s="1"/>
      <c r="Z886" s="1"/>
      <c r="AA886" s="1"/>
      <c r="AB886" s="1"/>
      <c r="AC886" s="1"/>
      <c r="AD886" s="4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</row>
    <row r="887" spans="1:64" ht="15.75" customHeight="1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3"/>
      <c r="X887" s="1"/>
      <c r="Y887" s="1"/>
      <c r="Z887" s="1"/>
      <c r="AA887" s="1"/>
      <c r="AB887" s="1"/>
      <c r="AC887" s="1"/>
      <c r="AD887" s="4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</row>
    <row r="888" spans="1:64" ht="15.75" customHeight="1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3"/>
      <c r="X888" s="1"/>
      <c r="Y888" s="1"/>
      <c r="Z888" s="1"/>
      <c r="AA888" s="1"/>
      <c r="AB888" s="1"/>
      <c r="AC888" s="1"/>
      <c r="AD888" s="4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</row>
    <row r="889" spans="1:64" ht="15.75" customHeight="1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3"/>
      <c r="X889" s="1"/>
      <c r="Y889" s="1"/>
      <c r="Z889" s="1"/>
      <c r="AA889" s="1"/>
      <c r="AB889" s="1"/>
      <c r="AC889" s="1"/>
      <c r="AD889" s="4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</row>
    <row r="890" spans="1:64" ht="15.75" customHeight="1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3"/>
      <c r="X890" s="1"/>
      <c r="Y890" s="1"/>
      <c r="Z890" s="1"/>
      <c r="AA890" s="1"/>
      <c r="AB890" s="1"/>
      <c r="AC890" s="1"/>
      <c r="AD890" s="4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</row>
    <row r="891" spans="1:64" ht="15.75" customHeight="1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3"/>
      <c r="X891" s="1"/>
      <c r="Y891" s="1"/>
      <c r="Z891" s="1"/>
      <c r="AA891" s="1"/>
      <c r="AB891" s="1"/>
      <c r="AC891" s="1"/>
      <c r="AD891" s="4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</row>
    <row r="892" spans="1:64" ht="15.75" customHeight="1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3"/>
      <c r="X892" s="1"/>
      <c r="Y892" s="1"/>
      <c r="Z892" s="1"/>
      <c r="AA892" s="1"/>
      <c r="AB892" s="1"/>
      <c r="AC892" s="1"/>
      <c r="AD892" s="4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</row>
    <row r="893" spans="1:64" ht="15.75" customHeight="1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3"/>
      <c r="X893" s="1"/>
      <c r="Y893" s="1"/>
      <c r="Z893" s="1"/>
      <c r="AA893" s="1"/>
      <c r="AB893" s="1"/>
      <c r="AC893" s="1"/>
      <c r="AD893" s="4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</row>
    <row r="894" spans="1:64" ht="15.75" customHeight="1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3"/>
      <c r="X894" s="1"/>
      <c r="Y894" s="1"/>
      <c r="Z894" s="1"/>
      <c r="AA894" s="1"/>
      <c r="AB894" s="1"/>
      <c r="AC894" s="1"/>
      <c r="AD894" s="4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</row>
    <row r="895" spans="1:64" ht="15.75" customHeight="1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3"/>
      <c r="X895" s="1"/>
      <c r="Y895" s="1"/>
      <c r="Z895" s="1"/>
      <c r="AA895" s="1"/>
      <c r="AB895" s="1"/>
      <c r="AC895" s="1"/>
      <c r="AD895" s="4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</row>
    <row r="896" spans="1:64" ht="15.75" customHeight="1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3"/>
      <c r="X896" s="1"/>
      <c r="Y896" s="1"/>
      <c r="Z896" s="1"/>
      <c r="AA896" s="1"/>
      <c r="AB896" s="1"/>
      <c r="AC896" s="1"/>
      <c r="AD896" s="4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</row>
    <row r="897" spans="1:64" ht="15.75" customHeight="1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3"/>
      <c r="X897" s="1"/>
      <c r="Y897" s="1"/>
      <c r="Z897" s="1"/>
      <c r="AA897" s="1"/>
      <c r="AB897" s="1"/>
      <c r="AC897" s="1"/>
      <c r="AD897" s="4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</row>
    <row r="898" spans="1:64" ht="15.75" customHeight="1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3"/>
      <c r="X898" s="1"/>
      <c r="Y898" s="1"/>
      <c r="Z898" s="1"/>
      <c r="AA898" s="1"/>
      <c r="AB898" s="1"/>
      <c r="AC898" s="1"/>
      <c r="AD898" s="4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</row>
    <row r="899" spans="1:64" ht="15.75" customHeight="1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3"/>
      <c r="X899" s="1"/>
      <c r="Y899" s="1"/>
      <c r="Z899" s="1"/>
      <c r="AA899" s="1"/>
      <c r="AB899" s="1"/>
      <c r="AC899" s="1"/>
      <c r="AD899" s="4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</row>
    <row r="900" spans="1:64" ht="15.75" customHeight="1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3"/>
      <c r="X900" s="1"/>
      <c r="Y900" s="1"/>
      <c r="Z900" s="1"/>
      <c r="AA900" s="1"/>
      <c r="AB900" s="1"/>
      <c r="AC900" s="1"/>
      <c r="AD900" s="4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</row>
    <row r="901" spans="1:64" ht="15.75" customHeight="1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3"/>
      <c r="X901" s="1"/>
      <c r="Y901" s="1"/>
      <c r="Z901" s="1"/>
      <c r="AA901" s="1"/>
      <c r="AB901" s="1"/>
      <c r="AC901" s="1"/>
      <c r="AD901" s="4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</row>
    <row r="902" spans="1:64" ht="15.75" customHeight="1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3"/>
      <c r="X902" s="1"/>
      <c r="Y902" s="1"/>
      <c r="Z902" s="1"/>
      <c r="AA902" s="1"/>
      <c r="AB902" s="1"/>
      <c r="AC902" s="1"/>
      <c r="AD902" s="4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</row>
    <row r="903" spans="1:64" ht="15.75" customHeight="1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3"/>
      <c r="X903" s="1"/>
      <c r="Y903" s="1"/>
      <c r="Z903" s="1"/>
      <c r="AA903" s="1"/>
      <c r="AB903" s="1"/>
      <c r="AC903" s="1"/>
      <c r="AD903" s="4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</row>
    <row r="904" spans="1:64" ht="15.75" customHeight="1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3"/>
      <c r="X904" s="1"/>
      <c r="Y904" s="1"/>
      <c r="Z904" s="1"/>
      <c r="AA904" s="1"/>
      <c r="AB904" s="1"/>
      <c r="AC904" s="1"/>
      <c r="AD904" s="4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</row>
    <row r="905" spans="1:64" ht="15.75" customHeight="1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3"/>
      <c r="X905" s="1"/>
      <c r="Y905" s="1"/>
      <c r="Z905" s="1"/>
      <c r="AA905" s="1"/>
      <c r="AB905" s="1"/>
      <c r="AC905" s="1"/>
      <c r="AD905" s="4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</row>
    <row r="906" spans="1:64" ht="15.75" customHeight="1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3"/>
      <c r="X906" s="1"/>
      <c r="Y906" s="1"/>
      <c r="Z906" s="1"/>
      <c r="AA906" s="1"/>
      <c r="AB906" s="1"/>
      <c r="AC906" s="1"/>
      <c r="AD906" s="4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</row>
    <row r="907" spans="1:64" ht="15.75" customHeight="1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3"/>
      <c r="X907" s="1"/>
      <c r="Y907" s="1"/>
      <c r="Z907" s="1"/>
      <c r="AA907" s="1"/>
      <c r="AB907" s="1"/>
      <c r="AC907" s="1"/>
      <c r="AD907" s="4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</row>
    <row r="908" spans="1:64" ht="15.75" customHeight="1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3"/>
      <c r="X908" s="1"/>
      <c r="Y908" s="1"/>
      <c r="Z908" s="1"/>
      <c r="AA908" s="1"/>
      <c r="AB908" s="1"/>
      <c r="AC908" s="1"/>
      <c r="AD908" s="4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</row>
    <row r="909" spans="1:64" ht="15.75" customHeight="1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3"/>
      <c r="X909" s="1"/>
      <c r="Y909" s="1"/>
      <c r="Z909" s="1"/>
      <c r="AA909" s="1"/>
      <c r="AB909" s="1"/>
      <c r="AC909" s="1"/>
      <c r="AD909" s="4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</row>
    <row r="910" spans="1:64" ht="15.75" customHeight="1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3"/>
      <c r="X910" s="1"/>
      <c r="Y910" s="1"/>
      <c r="Z910" s="1"/>
      <c r="AA910" s="1"/>
      <c r="AB910" s="1"/>
      <c r="AC910" s="1"/>
      <c r="AD910" s="4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</row>
    <row r="911" spans="1:64" ht="15.75" customHeight="1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3"/>
      <c r="X911" s="1"/>
      <c r="Y911" s="1"/>
      <c r="Z911" s="1"/>
      <c r="AA911" s="1"/>
      <c r="AB911" s="1"/>
      <c r="AC911" s="1"/>
      <c r="AD911" s="4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</row>
    <row r="912" spans="1:64" ht="15.75" customHeight="1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3"/>
      <c r="X912" s="1"/>
      <c r="Y912" s="1"/>
      <c r="Z912" s="1"/>
      <c r="AA912" s="1"/>
      <c r="AB912" s="1"/>
      <c r="AC912" s="1"/>
      <c r="AD912" s="4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</row>
    <row r="913" spans="1:64" ht="15.75" customHeight="1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3"/>
      <c r="X913" s="1"/>
      <c r="Y913" s="1"/>
      <c r="Z913" s="1"/>
      <c r="AA913" s="1"/>
      <c r="AB913" s="1"/>
      <c r="AC913" s="1"/>
      <c r="AD913" s="4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</row>
    <row r="914" spans="1:64" ht="15.75" customHeight="1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3"/>
      <c r="X914" s="1"/>
      <c r="Y914" s="1"/>
      <c r="Z914" s="1"/>
      <c r="AA914" s="1"/>
      <c r="AB914" s="1"/>
      <c r="AC914" s="1"/>
      <c r="AD914" s="4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</row>
    <row r="915" spans="1:64" ht="15.75" customHeight="1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3"/>
      <c r="X915" s="1"/>
      <c r="Y915" s="1"/>
      <c r="Z915" s="1"/>
      <c r="AA915" s="1"/>
      <c r="AB915" s="1"/>
      <c r="AC915" s="1"/>
      <c r="AD915" s="4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</row>
    <row r="916" spans="1:64" ht="15.75" customHeight="1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3"/>
      <c r="X916" s="1"/>
      <c r="Y916" s="1"/>
      <c r="Z916" s="1"/>
      <c r="AA916" s="1"/>
      <c r="AB916" s="1"/>
      <c r="AC916" s="1"/>
      <c r="AD916" s="4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</row>
    <row r="917" spans="1:64" ht="15.75" customHeight="1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3"/>
      <c r="X917" s="1"/>
      <c r="Y917" s="1"/>
      <c r="Z917" s="1"/>
      <c r="AA917" s="1"/>
      <c r="AB917" s="1"/>
      <c r="AC917" s="1"/>
      <c r="AD917" s="4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</row>
    <row r="918" spans="1:64" ht="15.75" customHeight="1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3"/>
      <c r="X918" s="1"/>
      <c r="Y918" s="1"/>
      <c r="Z918" s="1"/>
      <c r="AA918" s="1"/>
      <c r="AB918" s="1"/>
      <c r="AC918" s="1"/>
      <c r="AD918" s="4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</row>
    <row r="919" spans="1:64" ht="15.75" customHeight="1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3"/>
      <c r="X919" s="1"/>
      <c r="Y919" s="1"/>
      <c r="Z919" s="1"/>
      <c r="AA919" s="1"/>
      <c r="AB919" s="1"/>
      <c r="AC919" s="1"/>
      <c r="AD919" s="4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</row>
    <row r="920" spans="1:64" ht="15.75" customHeight="1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3"/>
      <c r="X920" s="1"/>
      <c r="Y920" s="1"/>
      <c r="Z920" s="1"/>
      <c r="AA920" s="1"/>
      <c r="AB920" s="1"/>
      <c r="AC920" s="1"/>
      <c r="AD920" s="4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</row>
    <row r="921" spans="1:64" ht="15.75" customHeight="1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3"/>
      <c r="X921" s="1"/>
      <c r="Y921" s="1"/>
      <c r="Z921" s="1"/>
      <c r="AA921" s="1"/>
      <c r="AB921" s="1"/>
      <c r="AC921" s="1"/>
      <c r="AD921" s="4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</row>
    <row r="922" spans="1:64" ht="15.75" customHeight="1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3"/>
      <c r="X922" s="1"/>
      <c r="Y922" s="1"/>
      <c r="Z922" s="1"/>
      <c r="AA922" s="1"/>
      <c r="AB922" s="1"/>
      <c r="AC922" s="1"/>
      <c r="AD922" s="4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</row>
    <row r="923" spans="1:64" ht="15.75" customHeight="1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3"/>
      <c r="X923" s="1"/>
      <c r="Y923" s="1"/>
      <c r="Z923" s="1"/>
      <c r="AA923" s="1"/>
      <c r="AB923" s="1"/>
      <c r="AC923" s="1"/>
      <c r="AD923" s="4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</row>
    <row r="924" spans="1:64" ht="15.75" customHeight="1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3"/>
      <c r="X924" s="1"/>
      <c r="Y924" s="1"/>
      <c r="Z924" s="1"/>
      <c r="AA924" s="1"/>
      <c r="AB924" s="1"/>
      <c r="AC924" s="1"/>
      <c r="AD924" s="4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</row>
    <row r="925" spans="1:64" ht="15.75" customHeight="1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3"/>
      <c r="X925" s="1"/>
      <c r="Y925" s="1"/>
      <c r="Z925" s="1"/>
      <c r="AA925" s="1"/>
      <c r="AB925" s="1"/>
      <c r="AC925" s="1"/>
      <c r="AD925" s="4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</row>
    <row r="926" spans="1:64" ht="15.75" customHeight="1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3"/>
      <c r="X926" s="1"/>
      <c r="Y926" s="1"/>
      <c r="Z926" s="1"/>
      <c r="AA926" s="1"/>
      <c r="AB926" s="1"/>
      <c r="AC926" s="1"/>
      <c r="AD926" s="4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</row>
    <row r="927" spans="1:64" ht="15.75" customHeight="1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3"/>
      <c r="X927" s="1"/>
      <c r="Y927" s="1"/>
      <c r="Z927" s="1"/>
      <c r="AA927" s="1"/>
      <c r="AB927" s="1"/>
      <c r="AC927" s="1"/>
      <c r="AD927" s="4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</row>
    <row r="928" spans="1:64" ht="15.75" customHeight="1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3"/>
      <c r="X928" s="1"/>
      <c r="Y928" s="1"/>
      <c r="Z928" s="1"/>
      <c r="AA928" s="1"/>
      <c r="AB928" s="1"/>
      <c r="AC928" s="1"/>
      <c r="AD928" s="4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</row>
    <row r="929" spans="1:64" ht="15.75" customHeight="1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3"/>
      <c r="X929" s="1"/>
      <c r="Y929" s="1"/>
      <c r="Z929" s="1"/>
      <c r="AA929" s="1"/>
      <c r="AB929" s="1"/>
      <c r="AC929" s="1"/>
      <c r="AD929" s="4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</row>
    <row r="930" spans="1:64" ht="15.75" customHeight="1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3"/>
      <c r="X930" s="1"/>
      <c r="Y930" s="1"/>
      <c r="Z930" s="1"/>
      <c r="AA930" s="1"/>
      <c r="AB930" s="1"/>
      <c r="AC930" s="1"/>
      <c r="AD930" s="4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</row>
    <row r="931" spans="1:64" ht="15.75" customHeight="1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3"/>
      <c r="X931" s="1"/>
      <c r="Y931" s="1"/>
      <c r="Z931" s="1"/>
      <c r="AA931" s="1"/>
      <c r="AB931" s="1"/>
      <c r="AC931" s="1"/>
      <c r="AD931" s="4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</row>
    <row r="932" spans="1:64" ht="15.75" customHeight="1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3"/>
      <c r="X932" s="1"/>
      <c r="Y932" s="1"/>
      <c r="Z932" s="1"/>
      <c r="AA932" s="1"/>
      <c r="AB932" s="1"/>
      <c r="AC932" s="1"/>
      <c r="AD932" s="4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</row>
    <row r="933" spans="1:64" ht="15.75" customHeight="1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3"/>
      <c r="X933" s="1"/>
      <c r="Y933" s="1"/>
      <c r="Z933" s="1"/>
      <c r="AA933" s="1"/>
      <c r="AB933" s="1"/>
      <c r="AC933" s="1"/>
      <c r="AD933" s="4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</row>
    <row r="934" spans="1:64" ht="15.75" customHeight="1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3"/>
      <c r="X934" s="1"/>
      <c r="Y934" s="1"/>
      <c r="Z934" s="1"/>
      <c r="AA934" s="1"/>
      <c r="AB934" s="1"/>
      <c r="AC934" s="1"/>
      <c r="AD934" s="4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</row>
    <row r="935" spans="1:64" ht="15.75" customHeight="1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3"/>
      <c r="X935" s="1"/>
      <c r="Y935" s="1"/>
      <c r="Z935" s="1"/>
      <c r="AA935" s="1"/>
      <c r="AB935" s="1"/>
      <c r="AC935" s="1"/>
      <c r="AD935" s="4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</row>
    <row r="936" spans="1:64" ht="15.75" customHeight="1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3"/>
      <c r="X936" s="1"/>
      <c r="Y936" s="1"/>
      <c r="Z936" s="1"/>
      <c r="AA936" s="1"/>
      <c r="AB936" s="1"/>
      <c r="AC936" s="1"/>
      <c r="AD936" s="4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</row>
    <row r="937" spans="1:64" ht="15.75" customHeight="1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3"/>
      <c r="X937" s="1"/>
      <c r="Y937" s="1"/>
      <c r="Z937" s="1"/>
      <c r="AA937" s="1"/>
      <c r="AB937" s="1"/>
      <c r="AC937" s="1"/>
      <c r="AD937" s="4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</row>
    <row r="938" spans="1:64" ht="15.75" customHeight="1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3"/>
      <c r="X938" s="1"/>
      <c r="Y938" s="1"/>
      <c r="Z938" s="1"/>
      <c r="AA938" s="1"/>
      <c r="AB938" s="1"/>
      <c r="AC938" s="1"/>
      <c r="AD938" s="4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</row>
    <row r="939" spans="1:64" ht="15.75" customHeight="1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3"/>
      <c r="X939" s="1"/>
      <c r="Y939" s="1"/>
      <c r="Z939" s="1"/>
      <c r="AA939" s="1"/>
      <c r="AB939" s="1"/>
      <c r="AC939" s="1"/>
      <c r="AD939" s="4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</row>
    <row r="940" spans="1:64" ht="15.75" customHeight="1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3"/>
      <c r="X940" s="1"/>
      <c r="Y940" s="1"/>
      <c r="Z940" s="1"/>
      <c r="AA940" s="1"/>
      <c r="AB940" s="1"/>
      <c r="AC940" s="1"/>
      <c r="AD940" s="4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</row>
    <row r="941" spans="1:64" ht="15.75" customHeight="1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3"/>
      <c r="X941" s="1"/>
      <c r="Y941" s="1"/>
      <c r="Z941" s="1"/>
      <c r="AA941" s="1"/>
      <c r="AB941" s="1"/>
      <c r="AC941" s="1"/>
      <c r="AD941" s="4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</row>
    <row r="942" spans="1:64" ht="15.75" customHeight="1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3"/>
      <c r="X942" s="1"/>
      <c r="Y942" s="1"/>
      <c r="Z942" s="1"/>
      <c r="AA942" s="1"/>
      <c r="AB942" s="1"/>
      <c r="AC942" s="1"/>
      <c r="AD942" s="4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</row>
    <row r="943" spans="1:64" ht="15.75" customHeight="1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3"/>
      <c r="X943" s="1"/>
      <c r="Y943" s="1"/>
      <c r="Z943" s="1"/>
      <c r="AA943" s="1"/>
      <c r="AB943" s="1"/>
      <c r="AC943" s="1"/>
      <c r="AD943" s="4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</row>
    <row r="944" spans="1:64" ht="15.75" customHeight="1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3"/>
      <c r="X944" s="1"/>
      <c r="Y944" s="1"/>
      <c r="Z944" s="1"/>
      <c r="AA944" s="1"/>
      <c r="AB944" s="1"/>
      <c r="AC944" s="1"/>
      <c r="AD944" s="4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</row>
    <row r="945" spans="1:64" ht="15.75" customHeight="1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3"/>
      <c r="X945" s="1"/>
      <c r="Y945" s="1"/>
      <c r="Z945" s="1"/>
      <c r="AA945" s="1"/>
      <c r="AB945" s="1"/>
      <c r="AC945" s="1"/>
      <c r="AD945" s="4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</row>
    <row r="946" spans="1:64" ht="15.75" customHeight="1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3"/>
      <c r="X946" s="1"/>
      <c r="Y946" s="1"/>
      <c r="Z946" s="1"/>
      <c r="AA946" s="1"/>
      <c r="AB946" s="1"/>
      <c r="AC946" s="1"/>
      <c r="AD946" s="4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</row>
    <row r="947" spans="1:64" ht="15.75" customHeight="1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3"/>
      <c r="X947" s="1"/>
      <c r="Y947" s="1"/>
      <c r="Z947" s="1"/>
      <c r="AA947" s="1"/>
      <c r="AB947" s="1"/>
      <c r="AC947" s="1"/>
      <c r="AD947" s="4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</row>
    <row r="948" spans="1:64" ht="15.75" customHeight="1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3"/>
      <c r="X948" s="1"/>
      <c r="Y948" s="1"/>
      <c r="Z948" s="1"/>
      <c r="AA948" s="1"/>
      <c r="AB948" s="1"/>
      <c r="AC948" s="1"/>
      <c r="AD948" s="4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</row>
    <row r="949" spans="1:64" ht="15.75" customHeight="1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3"/>
      <c r="X949" s="1"/>
      <c r="Y949" s="1"/>
      <c r="Z949" s="1"/>
      <c r="AA949" s="1"/>
      <c r="AB949" s="1"/>
      <c r="AC949" s="1"/>
      <c r="AD949" s="4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</row>
    <row r="950" spans="1:64" ht="15.75" customHeight="1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3"/>
      <c r="X950" s="1"/>
      <c r="Y950" s="1"/>
      <c r="Z950" s="1"/>
      <c r="AA950" s="1"/>
      <c r="AB950" s="1"/>
      <c r="AC950" s="1"/>
      <c r="AD950" s="4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</row>
    <row r="951" spans="1:64" ht="15.75" customHeight="1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3"/>
      <c r="X951" s="1"/>
      <c r="Y951" s="1"/>
      <c r="Z951" s="1"/>
      <c r="AA951" s="1"/>
      <c r="AB951" s="1"/>
      <c r="AC951" s="1"/>
      <c r="AD951" s="4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</row>
    <row r="952" spans="1:64" ht="15.75" customHeight="1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3"/>
      <c r="X952" s="1"/>
      <c r="Y952" s="1"/>
      <c r="Z952" s="1"/>
      <c r="AA952" s="1"/>
      <c r="AB952" s="1"/>
      <c r="AC952" s="1"/>
      <c r="AD952" s="4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</row>
    <row r="953" spans="1:64" ht="15.75" customHeight="1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3"/>
      <c r="X953" s="1"/>
      <c r="Y953" s="1"/>
      <c r="Z953" s="1"/>
      <c r="AA953" s="1"/>
      <c r="AB953" s="1"/>
      <c r="AC953" s="1"/>
      <c r="AD953" s="4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</row>
    <row r="954" spans="1:64" ht="15.75" customHeight="1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3"/>
      <c r="X954" s="1"/>
      <c r="Y954" s="1"/>
      <c r="Z954" s="1"/>
      <c r="AA954" s="1"/>
      <c r="AB954" s="1"/>
      <c r="AC954" s="1"/>
      <c r="AD954" s="4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</row>
    <row r="955" spans="1:64" ht="15.75" customHeight="1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3"/>
      <c r="X955" s="1"/>
      <c r="Y955" s="1"/>
      <c r="Z955" s="1"/>
      <c r="AA955" s="1"/>
      <c r="AB955" s="1"/>
      <c r="AC955" s="1"/>
      <c r="AD955" s="4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</row>
    <row r="956" spans="1:64" ht="15.75" customHeight="1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3"/>
      <c r="X956" s="1"/>
      <c r="Y956" s="1"/>
      <c r="Z956" s="1"/>
      <c r="AA956" s="1"/>
      <c r="AB956" s="1"/>
      <c r="AC956" s="1"/>
      <c r="AD956" s="4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</row>
    <row r="957" spans="1:64" ht="15.75" customHeight="1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3"/>
      <c r="X957" s="1"/>
      <c r="Y957" s="1"/>
      <c r="Z957" s="1"/>
      <c r="AA957" s="1"/>
      <c r="AB957" s="1"/>
      <c r="AC957" s="1"/>
      <c r="AD957" s="4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</row>
    <row r="958" spans="1:64" ht="15.75" customHeight="1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3"/>
      <c r="X958" s="1"/>
      <c r="Y958" s="1"/>
      <c r="Z958" s="1"/>
      <c r="AA958" s="1"/>
      <c r="AB958" s="1"/>
      <c r="AC958" s="1"/>
      <c r="AD958" s="4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</row>
    <row r="959" spans="1:64" ht="15.75" customHeight="1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3"/>
      <c r="X959" s="1"/>
      <c r="Y959" s="1"/>
      <c r="Z959" s="1"/>
      <c r="AA959" s="1"/>
      <c r="AB959" s="1"/>
      <c r="AC959" s="1"/>
      <c r="AD959" s="4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</row>
    <row r="960" spans="1:64" ht="15.75" customHeight="1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3"/>
      <c r="X960" s="1"/>
      <c r="Y960" s="1"/>
      <c r="Z960" s="1"/>
      <c r="AA960" s="1"/>
      <c r="AB960" s="1"/>
      <c r="AC960" s="1"/>
      <c r="AD960" s="4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</row>
    <row r="961" spans="1:64" ht="15.75" customHeight="1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3"/>
      <c r="X961" s="1"/>
      <c r="Y961" s="1"/>
      <c r="Z961" s="1"/>
      <c r="AA961" s="1"/>
      <c r="AB961" s="1"/>
      <c r="AC961" s="1"/>
      <c r="AD961" s="4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</row>
    <row r="962" spans="1:64" ht="15.75" customHeight="1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3"/>
      <c r="X962" s="1"/>
      <c r="Y962" s="1"/>
      <c r="Z962" s="1"/>
      <c r="AA962" s="1"/>
      <c r="AB962" s="1"/>
      <c r="AC962" s="1"/>
      <c r="AD962" s="4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</row>
    <row r="963" spans="1:64" ht="15.75" customHeight="1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3"/>
      <c r="X963" s="1"/>
      <c r="Y963" s="1"/>
      <c r="Z963" s="1"/>
      <c r="AA963" s="1"/>
      <c r="AB963" s="1"/>
      <c r="AC963" s="1"/>
      <c r="AD963" s="4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</row>
    <row r="964" spans="1:64" ht="15.75" customHeight="1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3"/>
      <c r="X964" s="1"/>
      <c r="Y964" s="1"/>
      <c r="Z964" s="1"/>
      <c r="AA964" s="1"/>
      <c r="AB964" s="1"/>
      <c r="AC964" s="1"/>
      <c r="AD964" s="4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</row>
    <row r="965" spans="1:64" ht="15.75" customHeight="1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3"/>
      <c r="X965" s="1"/>
      <c r="Y965" s="1"/>
      <c r="Z965" s="1"/>
      <c r="AA965" s="1"/>
      <c r="AB965" s="1"/>
      <c r="AC965" s="1"/>
      <c r="AD965" s="4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</row>
    <row r="966" spans="1:64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3"/>
      <c r="X966" s="1"/>
      <c r="Y966" s="1"/>
      <c r="Z966" s="1"/>
      <c r="AA966" s="1"/>
      <c r="AB966" s="1"/>
      <c r="AC966" s="1"/>
      <c r="AD966" s="4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</row>
    <row r="967" spans="1:64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3"/>
      <c r="X967" s="1"/>
      <c r="Y967" s="1"/>
      <c r="Z967" s="1"/>
      <c r="AA967" s="1"/>
      <c r="AB967" s="1"/>
      <c r="AC967" s="1"/>
      <c r="AD967" s="4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</row>
    <row r="968" spans="1:64" ht="15.75" customHeight="1">
      <c r="A968" s="1"/>
      <c r="W968" s="89"/>
      <c r="X968" s="1"/>
      <c r="Y968" s="1"/>
      <c r="Z968" s="1"/>
      <c r="AA968" s="1"/>
      <c r="AB968" s="1"/>
      <c r="AC968" s="1"/>
      <c r="AD968" s="4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</row>
  </sheetData>
  <mergeCells count="5">
    <mergeCell ref="X8:Z8"/>
    <mergeCell ref="AR8:AT8"/>
    <mergeCell ref="AR19:AV19"/>
    <mergeCell ref="X21:Z21"/>
    <mergeCell ref="X34:AB34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Jeanne Puerta</dc:creator>
  <cp:lastModifiedBy>Jeanne Puerta</cp:lastModifiedBy>
  <dcterms:created xsi:type="dcterms:W3CDTF">2026-04-12T22:41:21Z</dcterms:created>
  <dcterms:modified xsi:type="dcterms:W3CDTF">2026-04-12T22:41:52Z</dcterms:modified>
</cp:coreProperties>
</file>